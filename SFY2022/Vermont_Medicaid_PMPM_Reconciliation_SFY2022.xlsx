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edicaid project SQL reconstruction\Vermont_Medicaid_Recalibrated_Package\final_package\SFY2022\"/>
    </mc:Choice>
  </mc:AlternateContent>
  <xr:revisionPtr revIDLastSave="0" documentId="13_ncr:1_{8EBE88B0-4C42-4747-9EE2-E02AA448234C}" xr6:coauthVersionLast="47" xr6:coauthVersionMax="47" xr10:uidLastSave="{00000000-0000-0000-0000-000000000000}"/>
  <bookViews>
    <workbookView xWindow="3180" yWindow="910" windowWidth="26550" windowHeight="17070" tabRatio="500" firstSheet="1" activeTab="3" xr2:uid="{00000000-000D-0000-FFFF-FFFF00000000}"/>
  </bookViews>
  <sheets>
    <sheet name="SFY2022 Budget Reference" sheetId="1" r:id="rId1"/>
    <sheet name="Reconciliation Report" sheetId="2" r:id="rId2"/>
    <sheet name="Findings &amp; Resolution Log" sheetId="3" r:id="rId3"/>
    <sheet name="Summary Dashboard"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 i="4" l="1"/>
  <c r="D11" i="4" s="1"/>
  <c r="C5" i="4"/>
  <c r="B5" i="4"/>
  <c r="B8" i="4" s="1"/>
  <c r="J18" i="2"/>
  <c r="B7" i="4" s="1"/>
  <c r="D18" i="2"/>
  <c r="C18" i="2"/>
  <c r="C6" i="4" s="1"/>
  <c r="D6" i="4" s="1"/>
  <c r="B18" i="2"/>
  <c r="B6" i="4" s="1"/>
  <c r="K17" i="2"/>
  <c r="L17" i="2" s="1"/>
  <c r="J17" i="2"/>
  <c r="H17" i="2"/>
  <c r="I17" i="2" s="1"/>
  <c r="E17" i="2"/>
  <c r="D17" i="2"/>
  <c r="L16" i="2"/>
  <c r="K16" i="2"/>
  <c r="J16" i="2"/>
  <c r="I16" i="2"/>
  <c r="H16" i="2"/>
  <c r="E16" i="2"/>
  <c r="D16" i="2"/>
  <c r="K15" i="2"/>
  <c r="L15" i="2" s="1"/>
  <c r="J15" i="2"/>
  <c r="I15" i="2"/>
  <c r="H15" i="2"/>
  <c r="D15" i="2"/>
  <c r="E15" i="2" s="1"/>
  <c r="K14" i="2"/>
  <c r="L14" i="2" s="1"/>
  <c r="J14" i="2"/>
  <c r="H14" i="2"/>
  <c r="I14" i="2" s="1"/>
  <c r="D14" i="2"/>
  <c r="E14" i="2" s="1"/>
  <c r="K13" i="2"/>
  <c r="L13" i="2" s="1"/>
  <c r="J13" i="2"/>
  <c r="H13" i="2"/>
  <c r="I13" i="2" s="1"/>
  <c r="D13" i="2"/>
  <c r="E13" i="2" s="1"/>
  <c r="K12" i="2"/>
  <c r="L12" i="2" s="1"/>
  <c r="J12" i="2"/>
  <c r="H12" i="2"/>
  <c r="I12" i="2" s="1"/>
  <c r="E12" i="2"/>
  <c r="D12" i="2"/>
  <c r="L11" i="2"/>
  <c r="K11" i="2"/>
  <c r="J11" i="2"/>
  <c r="H11" i="2"/>
  <c r="I11" i="2" s="1"/>
  <c r="D11" i="2"/>
  <c r="E11" i="2" s="1"/>
  <c r="K10" i="2"/>
  <c r="L10" i="2" s="1"/>
  <c r="J10" i="2"/>
  <c r="H10" i="2"/>
  <c r="I10" i="2" s="1"/>
  <c r="D10" i="2"/>
  <c r="E10" i="2" s="1"/>
  <c r="K9" i="2"/>
  <c r="L9" i="2" s="1"/>
  <c r="J9" i="2"/>
  <c r="H9" i="2"/>
  <c r="I9" i="2" s="1"/>
  <c r="D9" i="2"/>
  <c r="E9" i="2" s="1"/>
  <c r="K8" i="2"/>
  <c r="L8" i="2" s="1"/>
  <c r="J8" i="2"/>
  <c r="H8" i="2"/>
  <c r="I8" i="2" s="1"/>
  <c r="D8" i="2"/>
  <c r="E8" i="2" s="1"/>
  <c r="K7" i="2"/>
  <c r="K18" i="2" s="1"/>
  <c r="C7" i="4" s="1"/>
  <c r="D7" i="4" s="1"/>
  <c r="J7" i="2"/>
  <c r="H7" i="2"/>
  <c r="I7" i="2" s="1"/>
  <c r="D7" i="2"/>
  <c r="E7" i="2" s="1"/>
  <c r="K6" i="2"/>
  <c r="L6" i="2" s="1"/>
  <c r="J6" i="2"/>
  <c r="H6" i="2"/>
  <c r="I6" i="2" s="1"/>
  <c r="D6" i="2"/>
  <c r="E6" i="2" s="1"/>
  <c r="K5" i="2"/>
  <c r="L5" i="2" s="1"/>
  <c r="J5" i="2"/>
  <c r="H5" i="2"/>
  <c r="I5" i="2" s="1"/>
  <c r="D5" i="2"/>
  <c r="E5" i="2" s="1"/>
  <c r="F18" i="1"/>
  <c r="C18" i="1"/>
  <c r="B18" i="1"/>
  <c r="F17" i="1"/>
  <c r="E17" i="1"/>
  <c r="F16" i="1"/>
  <c r="E16" i="1"/>
  <c r="F15" i="1"/>
  <c r="E15" i="1"/>
  <c r="F14" i="1"/>
  <c r="E14" i="1"/>
  <c r="F13" i="1"/>
  <c r="E13" i="1"/>
  <c r="E18" i="1" s="1"/>
  <c r="F12" i="1"/>
  <c r="E12" i="1"/>
  <c r="F11" i="1"/>
  <c r="E11" i="1"/>
  <c r="F10" i="1"/>
  <c r="E10" i="1"/>
  <c r="F9" i="1"/>
  <c r="E9" i="1"/>
  <c r="F8" i="1"/>
  <c r="E8" i="1"/>
  <c r="F7" i="1"/>
  <c r="E7" i="1"/>
  <c r="F6" i="1"/>
  <c r="E6" i="1"/>
  <c r="F5" i="1"/>
  <c r="E5" i="1"/>
  <c r="C10" i="4" l="1"/>
  <c r="D10" i="4" s="1"/>
  <c r="C8" i="4"/>
  <c r="D8" i="4" s="1"/>
  <c r="L7" i="2"/>
  <c r="L18" i="2" s="1"/>
  <c r="C9" i="4" l="1"/>
  <c r="D9" i="4" s="1"/>
</calcChain>
</file>

<file path=xl/sharedStrings.xml><?xml version="1.0" encoding="utf-8"?>
<sst xmlns="http://schemas.openxmlformats.org/spreadsheetml/2006/main" count="169" uniqueCount="117">
  <si>
    <t xml:space="preserve">  Vermont Medicaid SFY2022 — Budgeted PMPM Reference Data</t>
  </si>
  <si>
    <t xml:space="preserve">  Source: DVHA Annual PMPM Legislative Report (September 15, 2022) | Prepared by: Patrick Rooney, Financial Director IV</t>
  </si>
  <si>
    <t>NOTE: This report contains budgetary projections only ("As Passed"). Figures represent projected monthly average enrollment and gross PMPM costs per eligibility group. Premiums paused for Public Health Emergency — Premium PMPM = $0 for all groups. Source data is reproduced verbatim from the official DVHA legislative report.</t>
  </si>
  <si>
    <t>Medicaid Eligibility Group (MEG)</t>
  </si>
  <si>
    <t>Avg Monthly
Enrollment</t>
  </si>
  <si>
    <t>Gross PMPM ($)</t>
  </si>
  <si>
    <t>Premium PMPM ($)</t>
  </si>
  <si>
    <t>Net PMPM ($)</t>
  </si>
  <si>
    <t>Annual Budget Est. ($)</t>
  </si>
  <si>
    <t>ABD Adult</t>
  </si>
  <si>
    <t>ABD Dual</t>
  </si>
  <si>
    <t>General Adult</t>
  </si>
  <si>
    <t>New Adult Childless</t>
  </si>
  <si>
    <t>New Adult w/Child</t>
  </si>
  <si>
    <t>Vermont Premium Assist.</t>
  </si>
  <si>
    <t>Vermont Cost Sharing</t>
  </si>
  <si>
    <t>ABD Child</t>
  </si>
  <si>
    <t>General Child</t>
  </si>
  <si>
    <t>Underinsured Child</t>
  </si>
  <si>
    <t>CHIP</t>
  </si>
  <si>
    <t>Pharmacy Only</t>
  </si>
  <si>
    <t>Choices for Care</t>
  </si>
  <si>
    <t>TOTAL / WEIGHTED AVG</t>
  </si>
  <si>
    <t>—</t>
  </si>
  <si>
    <t>Note: Enrollment and Annual Budget are totals (summed). PMPM figures are enrollment-weighted averages, not simple averages.</t>
  </si>
  <si>
    <t xml:space="preserve">  Vermont Medicaid SFY2022 — Budget vs. Actual PMPM Reconciliation (Recalibrated Thresholds)</t>
  </si>
  <si>
    <t xml:space="preserve">  Prepared by: Graham Pinti | Recalibrated Threshold: Monitor &gt;6.3% enroll/8.9% PMPM, Escalate &gt;9.5%/13.4% (1/1.5 historical stdev)</t>
  </si>
  <si>
    <t>RECONCILIATION PROCESS: Budgeted figures sourced from DVHA SFY2022 Annual PMPM Legislative Report (As Passed budget). Actual figures sourced from the DVHA Medicaid Program Enrollment &amp; Expenditures Quarterly Report, Q4 SFY22 YTD (DVHA-only scope, period ending June 30, 2022). Thresholds were originally set as a flat 1%/2% assumption when this project was first built; that threshold was found to be 4-6x tighter than this system's natural year-over-year volatility (derived from real SFY2020-2024 DVHA data) and has been recalibrated accordingly. Choices for Care actuals reflect the Acute sub-category only; Traditional long-term care is budgeted/administered separately and reports $0 expenditure under DVHA-only scope.</t>
  </si>
  <si>
    <t>MEG</t>
  </si>
  <si>
    <t>Budget
Enrollment</t>
  </si>
  <si>
    <t>Actual
Enrollment</t>
  </si>
  <si>
    <t>Enroll.
Variance</t>
  </si>
  <si>
    <t>Enroll.
Var %</t>
  </si>
  <si>
    <t>Budget
PMPM ($)</t>
  </si>
  <si>
    <t>Actual
PMPM ($)</t>
  </si>
  <si>
    <t>PMPM
Variance ($)</t>
  </si>
  <si>
    <t>PMPM
Var %</t>
  </si>
  <si>
    <t>Budget
Ann. Cost ($)</t>
  </si>
  <si>
    <t>Actual
Ann. Cost ($)</t>
  </si>
  <si>
    <t>Cost
Impact ($)</t>
  </si>
  <si>
    <t>TOTALS</t>
  </si>
  <si>
    <t>Note: Bold rows indicate the 3 largest cost impacts in the portfolio (New Adult Childless, General Child, New Adult w/Child).</t>
  </si>
  <si>
    <t xml:space="preserve">  Vermont Medicaid SFY2022 — Findings &amp; Resolution Log (Recalibrated Thresholds)</t>
  </si>
  <si>
    <t xml:space="preserve">  Analyst: Graham Pinti | Items requiring investigation and documented resolution</t>
  </si>
  <si>
    <t>11 findings recorded across 10 of 13 MEGs in this analysis (one row per flagged metric). Thresholds were recalibrated from an original flat 1%/2% assumption to 6.3%/9.5% (enrollment) and 8.9%/13.4% (PMPM), based on historical year-over-year actual volatility by MEG (SFY2020-2024 DVHA data). The original thresholds were 4-6x tighter than this system's natural background noise, which is why the uncalibrated version flagged nearly every MEG regardless of real abnormality. Under the recalibrated threshold, 3 MEGs (ABD Child, Choices for Care, Vermont Cost Sharing) are fully within normal range, and General Adult is the only MEG flagging on both metrics.</t>
  </si>
  <si>
    <t>Variance Type</t>
  </si>
  <si>
    <t>Budget Figure</t>
  </si>
  <si>
    <t>Actual Figure</t>
  </si>
  <si>
    <t>Variance</t>
  </si>
  <si>
    <t>Variance %</t>
  </si>
  <si>
    <t>Finding &amp; Root Cause</t>
  </si>
  <si>
    <t>Resolution &amp; Status</t>
  </si>
  <si>
    <t>PMPM Cost</t>
  </si>
  <si>
    <t>$764.19</t>
  </si>
  <si>
    <t>$832.45</t>
  </si>
  <si>
    <t>+$68.26</t>
  </si>
  <si>
    <t>+8.93%</t>
  </si>
  <si>
    <t>PMPM exceeded budget by 8.93%, consistent with pent-up demand for delayed elective and specialty care as providers resumed normal operations following pandemic-era deferrals.</t>
  </si>
  <si>
    <t>MONITOR — PMPM variance exceeds recalibrated threshold (1 stdev = 8.9%, 1.5 stdev = 13.4%). GP 6/29/26</t>
  </si>
  <si>
    <t>$257.64</t>
  </si>
  <si>
    <t>$233.05</t>
  </si>
  <si>
    <t>($24.59)</t>
  </si>
  <si>
    <t>(9.54%)</t>
  </si>
  <si>
    <t>PMPM came in 9.54% under budget. Medicare-as-primary-payer for this dual-eligible population likely absorbed a larger share of cost growth, holding Medicaid-side PMPM down despite a modest enrollment increase.</t>
  </si>
  <si>
    <t>Enrollment</t>
  </si>
  <si>
    <t>+60.80%</t>
  </si>
  <si>
    <t>Enrollment exceeded budget by 60.80%, the largest variance in the portfolio and the only MEG flagging on both metrics even under the recalibrated threshold. Driven by federal PHE continuous enrollment provisions barring disenrollment of parents/caretakers and transitional Medicaid recipients throughout SFY22.</t>
  </si>
  <si>
    <t>ESCALATE — Enrollment variance exceeds recalibrated threshold (1 stdev = 6.3%, 1.5 stdev = 9.5%). GP 6/29/26</t>
  </si>
  <si>
    <t>$502.44</t>
  </si>
  <si>
    <t>$362.05</t>
  </si>
  <si>
    <t>($140.39)</t>
  </si>
  <si>
    <t>(27.94%)</t>
  </si>
  <si>
    <t>PMPM dropped 27.94% below budget as the retained population included many lower-acuity members who would otherwise have cycled off, diluting average per-member cost.</t>
  </si>
  <si>
    <t>ESCALATE — PMPM variance exceeds recalibrated threshold (1 stdev = 8.9%, 1.5 stdev = 13.4%). GP 6/29/26</t>
  </si>
  <si>
    <t>+33.53%</t>
  </si>
  <si>
    <t>Enrollment exceeded budget by 33.53%, consistent with the statewide PHE continuous enrollment effect across expansion adult categories.</t>
  </si>
  <si>
    <t>+12.81%</t>
  </si>
  <si>
    <t>Enrollment exceeded budget by 12.81%, driven by PHE continuous enrollment protections applying to parents with dependent children.</t>
  </si>
  <si>
    <t>$224.40</t>
  </si>
  <si>
    <t>$252.33</t>
  </si>
  <si>
    <t>+$27.93</t>
  </si>
  <si>
    <t>+12.45%</t>
  </si>
  <si>
    <t>PMPM exceeded budget by 12.45%, consistent with a statewide rebound in pediatric care utilization, including catch-up well-child visits and vaccinations deferred earlier in the pandemic.</t>
  </si>
  <si>
    <t>+16.23%</t>
  </si>
  <si>
    <t>Enrollment exceeded budget by 16.23%. This is a small population, so percentage swings are naturally amplified by a modest absolute change. Likely reflects economic disruption during the pandemic recovery period increasing reliance on wraparound coverage for children with other primary insurance.</t>
  </si>
  <si>
    <t>+7.61%</t>
  </si>
  <si>
    <t>Enrollment exceeded budget by 7.61% as continuous enrollment provisions applied to CHIP families as well as core Medicaid categories.</t>
  </si>
  <si>
    <t>MONITOR — Enrollment variance exceeds recalibrated threshold (1 stdev = 6.3%, 1.5 stdev = 9.5%). GP 6/29/26</t>
  </si>
  <si>
    <t>$47.50</t>
  </si>
  <si>
    <t>$55.40</t>
  </si>
  <si>
    <t>+$7.90</t>
  </si>
  <si>
    <t>+16.63%</t>
  </si>
  <si>
    <t>PMPM exceeded budget by 16.63%, the largest percentage cost overrun in the portfolio. Consistent with statewide pharmacy spend trends in SFY22 driven by specialty drug cost growth and rising prescription volume as members resumed regular prescribing patterns post-pandemic.</t>
  </si>
  <si>
    <t>(3466)</t>
  </si>
  <si>
    <t>(21.75%)</t>
  </si>
  <si>
    <t>Enrollment fell 21.75% below budget, the only large category to decline meaningfully. This population draws from the QHP marketplace rather than core Medicaid, so it was not protected by continuous enrollment; the drop is consistent with members shifting to employer-sponsored coverage as the labor market recovered.</t>
  </si>
  <si>
    <t xml:space="preserve">  Vermont Medicaid SFY2022 — Reconciliation Summary Dashboard (Recalibrated Thresholds)</t>
  </si>
  <si>
    <t xml:space="preserve">   Thresholds: 6.3%/9.5% enrollment, 8.9%/13.4% PMPM (1/1.5 historical stdev)</t>
  </si>
  <si>
    <t>RECONCILIATION SUMMARY — SFY2022 (Real Actuals)</t>
  </si>
  <si>
    <t>Metric</t>
  </si>
  <si>
    <t>Budget</t>
  </si>
  <si>
    <t>Actual</t>
  </si>
  <si>
    <t>Total MEGs Reviewed</t>
  </si>
  <si>
    <t>Total Enrolled Members (Avg Monthly)</t>
  </si>
  <si>
    <t>Total Annual Budget Estimate ($)</t>
  </si>
  <si>
    <t>MEGs with No Variance</t>
  </si>
  <si>
    <t>MEGs Flagged for Review</t>
  </si>
  <si>
    <t>MEGs Escalated (&gt;Threshold)</t>
  </si>
  <si>
    <t>MEGs Resolved</t>
  </si>
  <si>
    <t>TOP ESCALATED ITEMS BY COST IMPACT</t>
  </si>
  <si>
    <t>Enrollment +33.53%, PMPM -5.99% — $51,569,972 over budget</t>
  </si>
  <si>
    <t>Flag under recalibrated threshold: ESCALATE — see Findings Log</t>
  </si>
  <si>
    <t>Enrollment +3.77%, PMPM +12.45% — $26,769,284 over budget</t>
  </si>
  <si>
    <t>Flag under recalibrated threshold: MONITOR — see Findings Log</t>
  </si>
  <si>
    <t>Enrollment +12.81%, PMPM +8.02% — $23,624,752 over budget</t>
  </si>
  <si>
    <t>DATA SOURCE: Budget — DVHA SFY2022 Annual PMPM Legislative Report (As Passed). Actuals — DVHA Medicaid Program Enrollment &amp; Expenditures Quarterly Report, Q4 SFY22 YTD, DVHA-only scope. Thresholds recalibrated from historical SFY2020-2024 year-over-year volatility. Analysis prepared by Graham Pinti for portfolio demonstration.</t>
  </si>
  <si>
    <t>COST DRIVER ANALYSIS: SFY2022's variances reflect a single dominant mechanism, not several compounding factors. (1) Federal PHE continuous enrollment: under the Families First Coronavirus Response Act, states could not disenroll Medicaid members for the duration of the COVID-19 public health emergency. This froze three years of normal eligibility-review churn, driving enrollment well above budget in nearly every adult and family category (General Adult +60.8%, the largest single variance in this analysis). (2) PMPM moved in mixed directions depending on category, not a uniform cost-intensity rise. Several categories show a dilution effect: the retained population included many lower-acuity members who would normally have cycled off, pulling average PMPM down even as enrollment rose (General Adult PMPM -27.94%, New Adult Childless -5.99%). Other categories show the opposite, a utilization rebound as deferred pandemic-era care resumed (ABD Adult PMPM +8.93%, General Child +12.45%). Unlike SFY2025, no specific provider rate increases or other documented cost-side policy actions were identified for this period; the enrollment effect alone accounts for the majority of this year's variance. See the SFY2025 companion analysis for a contrasting year driven primarily by cost intensity rather than enrollment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</si>
</sst>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0"/>
    <numFmt numFmtId="166" formatCode="#,##0;\(#,##0\);\-"/>
    <numFmt numFmtId="167" formatCode="0.00%;\(0.00%\);\-"/>
    <numFmt numFmtId="168" formatCode="\$#,##0.00;&quot;($&quot;#,##0.00\);\-"/>
    <numFmt numFmtId="169" formatCode="\$#,##0;&quot;($&quot;#,##0\);\-"/>
  </numFmts>
  <fonts count="32" x14ac:knownFonts="1">
    <font>
      <sz val="11"/>
      <color theme="1"/>
      <name val="Calibri"/>
      <family val="2"/>
      <charset val="1"/>
    </font>
    <font>
      <sz val="11"/>
      <color theme="1"/>
      <name val="Calibri"/>
      <family val="2"/>
      <scheme val="minor"/>
    </font>
    <font>
      <b/>
      <sz val="13"/>
      <color rgb="FFFFFFFF"/>
      <name val="Arial"/>
      <charset val="1"/>
    </font>
    <font>
      <i/>
      <sz val="9"/>
      <color rgb="FF1F4E79"/>
      <name val="Arial"/>
      <charset val="1"/>
    </font>
    <font>
      <b/>
      <sz val="10"/>
      <color rgb="FFFFFFFF"/>
      <name val="Arial"/>
      <charset val="1"/>
    </font>
    <font>
      <sz val="10"/>
      <color rgb="FF000000"/>
      <name val="Arial"/>
      <charset val="1"/>
    </font>
    <font>
      <sz val="10"/>
      <color rgb="FF808080"/>
      <name val="Arial"/>
      <charset val="1"/>
    </font>
    <font>
      <sz val="10"/>
      <name val="Arial"/>
      <charset val="1"/>
    </font>
    <font>
      <sz val="9.5"/>
      <color theme="1"/>
      <name val="Calibri"/>
      <family val="2"/>
      <charset val="1"/>
    </font>
    <font>
      <sz val="10"/>
      <name val="Arial"/>
      <family val="2"/>
      <charset val="1"/>
    </font>
    <font>
      <b/>
      <sz val="10"/>
      <name val="Arial"/>
      <family val="2"/>
      <charset val="1"/>
    </font>
    <font>
      <b/>
      <sz val="10"/>
      <color rgb="FF000000"/>
      <name val="Arial"/>
      <family val="2"/>
      <charset val="1"/>
    </font>
    <font>
      <b/>
      <sz val="13"/>
      <color rgb="FFFFFFFF"/>
      <name val="Arial"/>
      <family val="2"/>
      <charset val="1"/>
    </font>
    <font>
      <i/>
      <sz val="10"/>
      <color rgb="FF1F4E79"/>
      <name val="Arial"/>
      <family val="2"/>
      <charset val="1"/>
    </font>
    <font>
      <i/>
      <sz val="11"/>
      <color rgb="FFC00000"/>
      <name val="Arial"/>
      <family val="2"/>
      <charset val="1"/>
    </font>
    <font>
      <sz val="11"/>
      <color theme="0"/>
      <name val="Calibri"/>
      <family val="2"/>
      <charset val="1"/>
    </font>
    <font>
      <sz val="11"/>
      <color rgb="FF000000"/>
      <name val="Arial"/>
      <family val="2"/>
      <charset val="1"/>
    </font>
    <font>
      <sz val="11"/>
      <name val="Arial"/>
      <family val="2"/>
      <charset val="1"/>
    </font>
    <font>
      <b/>
      <sz val="11"/>
      <color rgb="FF000000"/>
      <name val="Arial"/>
      <family val="2"/>
      <charset val="1"/>
    </font>
    <font>
      <b/>
      <sz val="11"/>
      <name val="Arial"/>
      <family val="2"/>
      <charset val="1"/>
    </font>
    <font>
      <sz val="11"/>
      <color theme="1"/>
      <name val="Arial"/>
      <family val="2"/>
      <charset val="1"/>
    </font>
    <font>
      <b/>
      <sz val="11"/>
      <color theme="1"/>
      <name val="Arial"/>
      <family val="2"/>
      <charset val="1"/>
    </font>
    <font>
      <sz val="10.4"/>
      <color theme="1"/>
      <name val="Arial"/>
      <family val="2"/>
      <charset val="1"/>
    </font>
    <font>
      <sz val="10"/>
      <color theme="1"/>
      <name val="Arial"/>
      <family val="2"/>
      <charset val="1"/>
    </font>
    <font>
      <b/>
      <sz val="11"/>
      <color rgb="FFFFFFFF"/>
      <name val="Arial"/>
      <charset val="1"/>
    </font>
    <font>
      <b/>
      <sz val="10"/>
      <color rgb="FF1F4E79"/>
      <name val="Arial"/>
      <charset val="1"/>
    </font>
    <font>
      <b/>
      <sz val="10"/>
      <color rgb="FF000000"/>
      <name val="Arial"/>
      <charset val="1"/>
    </font>
    <font>
      <sz val="10"/>
      <color rgb="FFC00000"/>
      <name val="Arial"/>
      <charset val="1"/>
    </font>
    <font>
      <b/>
      <sz val="11"/>
      <color theme="1"/>
      <name val="Calibri"/>
      <family val="2"/>
      <charset val="1"/>
    </font>
    <font>
      <sz val="11"/>
      <color rgb="FFC00000"/>
      <name val="Calibri"/>
      <family val="2"/>
      <charset val="1"/>
    </font>
    <font>
      <i/>
      <sz val="8"/>
      <color rgb="FF595959"/>
      <name val="Arial"/>
      <charset val="1"/>
    </font>
    <font>
      <sz val="10"/>
      <name val="Arial"/>
      <family val="2"/>
    </font>
  </fonts>
  <fills count="15">
    <fill>
      <patternFill patternType="none"/>
    </fill>
    <fill>
      <patternFill patternType="gray125"/>
    </fill>
    <fill>
      <patternFill patternType="solid">
        <fgColor rgb="FF1F4E79"/>
        <bgColor rgb="FF003366"/>
      </patternFill>
    </fill>
    <fill>
      <patternFill patternType="solid">
        <fgColor rgb="FFD6E4F0"/>
        <bgColor rgb="FFD9D9D9"/>
      </patternFill>
    </fill>
    <fill>
      <patternFill patternType="solid">
        <fgColor rgb="FFF2F2F2"/>
        <bgColor rgb="FFFDEADA"/>
      </patternFill>
    </fill>
    <fill>
      <patternFill patternType="solid">
        <fgColor rgb="FF2E75B6"/>
        <bgColor rgb="FF4F81BD"/>
      </patternFill>
    </fill>
    <fill>
      <patternFill patternType="solid">
        <fgColor theme="0"/>
        <bgColor rgb="FFF2F2F2"/>
      </patternFill>
    </fill>
    <fill>
      <patternFill patternType="solid">
        <fgColor rgb="FFFCE4D6"/>
        <bgColor rgb="FFFCE4E4"/>
      </patternFill>
    </fill>
    <fill>
      <patternFill patternType="solid">
        <fgColor theme="4"/>
        <bgColor rgb="FF2E75B6"/>
      </patternFill>
    </fill>
    <fill>
      <patternFill patternType="solid">
        <fgColor rgb="FFFCE4E4"/>
        <bgColor rgb="FFFCE4D6"/>
      </patternFill>
    </fill>
    <fill>
      <patternFill patternType="solid">
        <fgColor rgb="FFE2F0D9"/>
        <bgColor rgb="FFF2F2F2"/>
      </patternFill>
    </fill>
    <fill>
      <patternFill patternType="solid">
        <fgColor rgb="FFBDD7EE"/>
        <bgColor rgb="FFD9D9D9"/>
      </patternFill>
    </fill>
    <fill>
      <patternFill patternType="solid">
        <fgColor rgb="FFC00000"/>
        <bgColor rgb="FF800000"/>
      </patternFill>
    </fill>
    <fill>
      <patternFill patternType="solid">
        <fgColor theme="9" tint="0.79989013336588644"/>
        <bgColor rgb="FFFCE4D6"/>
      </patternFill>
    </fill>
    <fill>
      <patternFill patternType="solid">
        <fgColor theme="9" tint="0.79998168889431442"/>
        <bgColor indexed="65"/>
      </patternFill>
    </fill>
  </fills>
  <borders count="6">
    <border>
      <left/>
      <right/>
      <top/>
      <bottom/>
      <diagonal/>
    </border>
    <border>
      <left style="thin">
        <color rgb="FF2E75B6"/>
      </left>
      <right style="thin">
        <color rgb="FF2E75B6"/>
      </right>
      <top style="thin">
        <color rgb="FF2E75B6"/>
      </top>
      <bottom style="thin">
        <color rgb="FF2E75B6"/>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indexed="64"/>
      </top>
      <bottom/>
      <diagonal/>
    </border>
  </borders>
  <cellStyleXfs count="2">
    <xf numFmtId="0" fontId="0" fillId="0" borderId="0"/>
    <xf numFmtId="0" fontId="1" fillId="14" borderId="0" applyNumberFormat="0" applyBorder="0" applyAlignment="0" applyProtection="0"/>
  </cellStyleXfs>
  <cellXfs count="106">
    <xf numFmtId="0" fontId="0" fillId="0" borderId="0" xfId="0"/>
    <xf numFmtId="0" fontId="30" fillId="3" borderId="0" xfId="0" applyFont="1" applyFill="1" applyAlignment="1">
      <alignment horizontal="left" vertical="center" wrapText="1"/>
    </xf>
    <xf numFmtId="0" fontId="5" fillId="7" borderId="2" xfId="0" applyFont="1" applyFill="1" applyBorder="1" applyAlignment="1">
      <alignment horizontal="left" vertical="center"/>
    </xf>
    <xf numFmtId="0" fontId="4" fillId="12" borderId="0" xfId="0" applyFont="1" applyFill="1" applyAlignment="1">
      <alignment horizontal="left" vertical="center"/>
    </xf>
    <xf numFmtId="0" fontId="24" fillId="5" borderId="0" xfId="0" applyFont="1" applyFill="1" applyAlignment="1">
      <alignment horizontal="left" vertical="center"/>
    </xf>
    <xf numFmtId="0" fontId="3" fillId="3" borderId="0" xfId="0" applyFont="1" applyFill="1" applyAlignment="1">
      <alignment horizontal="left" vertical="center" wrapText="1"/>
    </xf>
    <xf numFmtId="0" fontId="3" fillId="3" borderId="0" xfId="0" applyFont="1" applyFill="1" applyAlignment="1">
      <alignment horizontal="left" vertical="center"/>
    </xf>
    <xf numFmtId="0" fontId="2" fillId="2" borderId="0" xfId="0" applyFont="1" applyFill="1" applyAlignment="1">
      <alignment horizontal="left" vertical="center"/>
    </xf>
    <xf numFmtId="0" fontId="14" fillId="7" borderId="0" xfId="0" applyFont="1" applyFill="1" applyAlignment="1">
      <alignment horizontal="left" vertical="center" wrapText="1"/>
    </xf>
    <xf numFmtId="0" fontId="13" fillId="3" borderId="0" xfId="0" applyFont="1" applyFill="1" applyAlignment="1">
      <alignment horizontal="left" vertical="center"/>
    </xf>
    <xf numFmtId="0" fontId="12" fillId="2" borderId="0" xfId="0" applyFont="1" applyFill="1" applyAlignment="1">
      <alignment horizontal="left" vertical="center"/>
    </xf>
    <xf numFmtId="0" fontId="4" fillId="2" borderId="1" xfId="0" applyFont="1" applyFill="1" applyBorder="1" applyAlignment="1">
      <alignment horizontal="center" vertical="center" wrapText="1"/>
    </xf>
    <xf numFmtId="0" fontId="5" fillId="0" borderId="2" xfId="0" applyFont="1" applyBorder="1" applyAlignment="1">
      <alignment horizontal="left" vertical="center"/>
    </xf>
    <xf numFmtId="3" fontId="5" fillId="0" borderId="2" xfId="0" applyNumberFormat="1" applyFont="1" applyBorder="1" applyAlignment="1">
      <alignment horizontal="right" vertical="center"/>
    </xf>
    <xf numFmtId="164" fontId="5" fillId="0" borderId="2" xfId="0" applyNumberFormat="1" applyFont="1" applyBorder="1" applyAlignment="1">
      <alignment horizontal="right" vertical="center"/>
    </xf>
    <xf numFmtId="164" fontId="6" fillId="0" borderId="2" xfId="0" applyNumberFormat="1" applyFont="1" applyBorder="1" applyAlignment="1">
      <alignment horizontal="right" vertical="center"/>
    </xf>
    <xf numFmtId="164" fontId="7" fillId="0" borderId="2" xfId="0" applyNumberFormat="1" applyFont="1" applyBorder="1" applyAlignment="1">
      <alignment horizontal="right"/>
    </xf>
    <xf numFmtId="165" fontId="7" fillId="0" borderId="2" xfId="0" applyNumberFormat="1" applyFont="1" applyBorder="1" applyAlignment="1">
      <alignment horizontal="right"/>
    </xf>
    <xf numFmtId="0" fontId="5" fillId="4" borderId="2" xfId="0" applyFont="1" applyFill="1" applyBorder="1" applyAlignment="1">
      <alignment horizontal="left" vertical="center"/>
    </xf>
    <xf numFmtId="3" fontId="5" fillId="4" borderId="2" xfId="0" applyNumberFormat="1" applyFont="1" applyFill="1" applyBorder="1" applyAlignment="1">
      <alignment horizontal="right" vertical="center"/>
    </xf>
    <xf numFmtId="164" fontId="5" fillId="4" borderId="2" xfId="0" applyNumberFormat="1" applyFont="1" applyFill="1" applyBorder="1" applyAlignment="1">
      <alignment horizontal="right" vertical="center"/>
    </xf>
    <xf numFmtId="164" fontId="6" fillId="4" borderId="2" xfId="0" applyNumberFormat="1" applyFont="1" applyFill="1" applyBorder="1" applyAlignment="1">
      <alignment horizontal="right" vertical="center"/>
    </xf>
    <xf numFmtId="164" fontId="7" fillId="4" borderId="2" xfId="0" applyNumberFormat="1" applyFont="1" applyFill="1" applyBorder="1" applyAlignment="1">
      <alignment horizontal="right"/>
    </xf>
    <xf numFmtId="165" fontId="7" fillId="4" borderId="2" xfId="0" applyNumberFormat="1" applyFont="1" applyFill="1" applyBorder="1" applyAlignment="1">
      <alignment horizontal="right"/>
    </xf>
    <xf numFmtId="0" fontId="4" fillId="5" borderId="1" xfId="0" applyFont="1" applyFill="1" applyBorder="1" applyAlignment="1">
      <alignment horizontal="left" vertical="center"/>
    </xf>
    <xf numFmtId="3" fontId="4"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0" fontId="4" fillId="5" borderId="1" xfId="0" applyFont="1" applyFill="1" applyBorder="1" applyAlignment="1">
      <alignment horizontal="right" vertical="center"/>
    </xf>
    <xf numFmtId="165" fontId="4" fillId="5" borderId="1" xfId="0" applyNumberFormat="1" applyFont="1" applyFill="1" applyBorder="1" applyAlignment="1">
      <alignment horizontal="right" vertical="center"/>
    </xf>
    <xf numFmtId="0" fontId="8" fillId="0" borderId="0" xfId="0" applyFont="1"/>
    <xf numFmtId="3" fontId="9" fillId="0" borderId="2" xfId="0" applyNumberFormat="1" applyFont="1" applyBorder="1" applyAlignment="1">
      <alignment horizontal="right" vertical="center"/>
    </xf>
    <xf numFmtId="166" fontId="9" fillId="0" borderId="2" xfId="0" applyNumberFormat="1" applyFont="1" applyBorder="1" applyAlignment="1">
      <alignment horizontal="right"/>
    </xf>
    <xf numFmtId="167" fontId="9" fillId="0" borderId="2" xfId="0" applyNumberFormat="1" applyFont="1" applyBorder="1" applyAlignment="1">
      <alignment horizontal="right"/>
    </xf>
    <xf numFmtId="164" fontId="9" fillId="0" borderId="2" xfId="0" applyNumberFormat="1" applyFont="1" applyBorder="1" applyAlignment="1">
      <alignment horizontal="right" vertical="center"/>
    </xf>
    <xf numFmtId="168" fontId="9" fillId="0" borderId="2" xfId="0" applyNumberFormat="1" applyFont="1" applyBorder="1" applyAlignment="1">
      <alignment horizontal="right"/>
    </xf>
    <xf numFmtId="165" fontId="9" fillId="0" borderId="2" xfId="0" applyNumberFormat="1" applyFont="1" applyBorder="1" applyAlignment="1">
      <alignment horizontal="right"/>
    </xf>
    <xf numFmtId="169" fontId="10" fillId="0" borderId="2" xfId="0" applyNumberFormat="1" applyFont="1" applyBorder="1" applyAlignment="1">
      <alignment horizontal="right"/>
    </xf>
    <xf numFmtId="0" fontId="11" fillId="0" borderId="2" xfId="0" applyFont="1" applyBorder="1" applyAlignment="1">
      <alignment horizontal="left" vertical="center"/>
    </xf>
    <xf numFmtId="0" fontId="5" fillId="6" borderId="2" xfId="0" applyFont="1" applyFill="1" applyBorder="1" applyAlignment="1">
      <alignment horizontal="left" vertical="center"/>
    </xf>
    <xf numFmtId="3" fontId="9" fillId="6" borderId="2" xfId="0" applyNumberFormat="1" applyFont="1" applyFill="1" applyBorder="1" applyAlignment="1">
      <alignment horizontal="right" vertical="center"/>
    </xf>
    <xf numFmtId="166" fontId="9" fillId="6" borderId="2" xfId="0" applyNumberFormat="1" applyFont="1" applyFill="1" applyBorder="1" applyAlignment="1">
      <alignment horizontal="right"/>
    </xf>
    <xf numFmtId="167" fontId="9" fillId="6" borderId="2" xfId="0" applyNumberFormat="1" applyFont="1" applyFill="1" applyBorder="1" applyAlignment="1">
      <alignment horizontal="right"/>
    </xf>
    <xf numFmtId="164" fontId="9" fillId="6" borderId="2" xfId="0" applyNumberFormat="1" applyFont="1" applyFill="1" applyBorder="1" applyAlignment="1">
      <alignment horizontal="right" vertical="center"/>
    </xf>
    <xf numFmtId="168" fontId="9" fillId="6" borderId="2" xfId="0" applyNumberFormat="1" applyFont="1" applyFill="1" applyBorder="1" applyAlignment="1">
      <alignment horizontal="right"/>
    </xf>
    <xf numFmtId="165" fontId="9" fillId="6" borderId="2" xfId="0" applyNumberFormat="1" applyFont="1" applyFill="1" applyBorder="1" applyAlignment="1">
      <alignment horizontal="right"/>
    </xf>
    <xf numFmtId="169" fontId="10" fillId="6" borderId="2" xfId="0" applyNumberFormat="1" applyFont="1" applyFill="1" applyBorder="1" applyAlignment="1">
      <alignment horizontal="right"/>
    </xf>
    <xf numFmtId="166" fontId="4" fillId="5" borderId="1" xfId="0" applyNumberFormat="1" applyFont="1" applyFill="1" applyBorder="1" applyAlignment="1">
      <alignment horizontal="right" vertical="center"/>
    </xf>
    <xf numFmtId="0" fontId="4" fillId="5" borderId="1" xfId="0" applyFont="1" applyFill="1" applyBorder="1" applyAlignment="1">
      <alignment horizontal="center"/>
    </xf>
    <xf numFmtId="169" fontId="4" fillId="5" borderId="1" xfId="0" applyNumberFormat="1" applyFont="1" applyFill="1" applyBorder="1" applyAlignment="1">
      <alignment horizontal="right" vertical="center"/>
    </xf>
    <xf numFmtId="0" fontId="0" fillId="0" borderId="0" xfId="0" applyAlignment="1">
      <alignment wrapText="1"/>
    </xf>
    <xf numFmtId="0" fontId="15" fillId="8" borderId="3" xfId="0" applyFont="1" applyFill="1" applyBorder="1" applyAlignment="1">
      <alignment horizontal="left" vertical="center"/>
    </xf>
    <xf numFmtId="0" fontId="15" fillId="8" borderId="3" xfId="0" applyFont="1" applyFill="1" applyBorder="1" applyAlignment="1">
      <alignment horizontal="center" vertical="center"/>
    </xf>
    <xf numFmtId="0" fontId="15" fillId="8" borderId="3" xfId="0" applyFont="1" applyFill="1" applyBorder="1" applyAlignment="1">
      <alignment horizontal="right" vertical="center"/>
    </xf>
    <xf numFmtId="0" fontId="15" fillId="8" borderId="3" xfId="0" applyFont="1" applyFill="1" applyBorder="1" applyAlignment="1">
      <alignment horizontal="left" vertical="center" wrapText="1"/>
    </xf>
    <xf numFmtId="0" fontId="16" fillId="9" borderId="3" xfId="0" applyFont="1" applyFill="1" applyBorder="1" applyAlignment="1">
      <alignment horizontal="left" vertical="center"/>
    </xf>
    <xf numFmtId="0" fontId="16" fillId="9" borderId="3" xfId="0" applyFont="1" applyFill="1" applyBorder="1" applyAlignment="1">
      <alignment horizontal="center" vertical="center"/>
    </xf>
    <xf numFmtId="0" fontId="16" fillId="9" borderId="3" xfId="0" applyFont="1" applyFill="1" applyBorder="1" applyAlignment="1">
      <alignment horizontal="left" vertical="center" wrapText="1"/>
    </xf>
    <xf numFmtId="0" fontId="17" fillId="9" borderId="3" xfId="0" applyFont="1" applyFill="1" applyBorder="1" applyAlignment="1">
      <alignment horizontal="left" vertical="center" wrapText="1"/>
    </xf>
    <xf numFmtId="0" fontId="16" fillId="10" borderId="3" xfId="0" applyFont="1" applyFill="1" applyBorder="1" applyAlignment="1">
      <alignment horizontal="left" vertical="center"/>
    </xf>
    <xf numFmtId="0" fontId="16" fillId="10" borderId="3" xfId="0" applyFont="1" applyFill="1" applyBorder="1" applyAlignment="1">
      <alignment horizontal="center" vertical="center"/>
    </xf>
    <xf numFmtId="0" fontId="17" fillId="10" borderId="3" xfId="0" applyFont="1" applyFill="1" applyBorder="1" applyAlignment="1">
      <alignment horizontal="center" vertical="center"/>
    </xf>
    <xf numFmtId="0" fontId="16" fillId="10" borderId="3" xfId="0" applyFont="1" applyFill="1" applyBorder="1" applyAlignment="1">
      <alignment horizontal="left" vertical="center" wrapText="1"/>
    </xf>
    <xf numFmtId="0" fontId="17" fillId="10" borderId="3" xfId="0" applyFont="1" applyFill="1" applyBorder="1" applyAlignment="1">
      <alignment horizontal="left" vertical="center" wrapText="1"/>
    </xf>
    <xf numFmtId="0" fontId="17" fillId="9" borderId="3" xfId="0" applyFont="1" applyFill="1" applyBorder="1" applyAlignment="1">
      <alignment horizontal="center" vertical="center"/>
    </xf>
    <xf numFmtId="0" fontId="18" fillId="9" borderId="3" xfId="0" applyFont="1" applyFill="1" applyBorder="1" applyAlignment="1">
      <alignment horizontal="left" vertical="center"/>
    </xf>
    <xf numFmtId="0" fontId="18" fillId="9" borderId="3" xfId="0" applyFont="1" applyFill="1" applyBorder="1" applyAlignment="1">
      <alignment horizontal="center" vertical="center"/>
    </xf>
    <xf numFmtId="0" fontId="19" fillId="9" borderId="3" xfId="0" applyFont="1" applyFill="1" applyBorder="1" applyAlignment="1">
      <alignment horizontal="center" vertical="center"/>
    </xf>
    <xf numFmtId="0" fontId="18" fillId="9" borderId="3" xfId="0" applyFont="1" applyFill="1" applyBorder="1" applyAlignment="1">
      <alignment horizontal="left" vertical="center" wrapText="1"/>
    </xf>
    <xf numFmtId="0" fontId="19" fillId="9" borderId="3" xfId="0" applyFont="1" applyFill="1" applyBorder="1" applyAlignment="1">
      <alignment horizontal="left" vertical="center" wrapText="1"/>
    </xf>
    <xf numFmtId="0" fontId="20" fillId="9" borderId="3" xfId="0" applyFont="1" applyFill="1" applyBorder="1" applyAlignment="1">
      <alignment vertical="center"/>
    </xf>
    <xf numFmtId="0" fontId="20" fillId="9" borderId="3" xfId="0" applyFont="1" applyFill="1" applyBorder="1" applyAlignment="1">
      <alignment horizontal="center" vertical="center"/>
    </xf>
    <xf numFmtId="0" fontId="20" fillId="9" borderId="3" xfId="0" applyFont="1" applyFill="1" applyBorder="1" applyAlignment="1">
      <alignment vertical="center" wrapText="1"/>
    </xf>
    <xf numFmtId="0" fontId="17" fillId="9" borderId="3" xfId="0" applyFont="1" applyFill="1" applyBorder="1" applyAlignment="1">
      <alignment horizontal="left" vertical="center"/>
    </xf>
    <xf numFmtId="0" fontId="22" fillId="0" borderId="0" xfId="0" applyFont="1"/>
    <xf numFmtId="0" fontId="20" fillId="0" borderId="0" xfId="0" applyFont="1" applyAlignment="1">
      <alignment vertical="center"/>
    </xf>
    <xf numFmtId="0" fontId="20" fillId="0" borderId="0" xfId="0" applyFont="1" applyAlignment="1">
      <alignment vertical="center" wrapText="1"/>
    </xf>
    <xf numFmtId="0" fontId="23" fillId="0" borderId="0" xfId="0" applyFont="1"/>
    <xf numFmtId="0" fontId="0" fillId="0" borderId="0" xfId="0" applyAlignment="1">
      <alignment vertical="center"/>
    </xf>
    <xf numFmtId="0" fontId="0" fillId="0" borderId="0" xfId="0" applyAlignment="1">
      <alignment vertical="center" wrapText="1"/>
    </xf>
    <xf numFmtId="0" fontId="25" fillId="11" borderId="1" xfId="0" applyFont="1" applyFill="1" applyBorder="1" applyAlignment="1">
      <alignment horizontal="center" vertical="center" wrapText="1"/>
    </xf>
    <xf numFmtId="0" fontId="26" fillId="0" borderId="2" xfId="0" applyFont="1" applyBorder="1" applyAlignment="1">
      <alignment horizontal="left" vertical="center"/>
    </xf>
    <xf numFmtId="0" fontId="5" fillId="0" borderId="2" xfId="0" applyFont="1" applyBorder="1" applyAlignment="1">
      <alignment horizontal="righ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165" fontId="5" fillId="0" borderId="2" xfId="0" applyNumberFormat="1" applyFont="1" applyBorder="1" applyAlignment="1">
      <alignment horizontal="right" vertical="center"/>
    </xf>
    <xf numFmtId="0" fontId="26" fillId="7" borderId="2" xfId="0" applyFont="1" applyFill="1" applyBorder="1" applyAlignment="1">
      <alignment horizontal="left" vertical="center"/>
    </xf>
    <xf numFmtId="0" fontId="27" fillId="7" borderId="2" xfId="0" applyFont="1" applyFill="1" applyBorder="1" applyAlignment="1">
      <alignment horizontal="left" vertical="center"/>
    </xf>
    <xf numFmtId="0" fontId="28" fillId="13" borderId="0" xfId="0" applyFont="1" applyFill="1"/>
    <xf numFmtId="0" fontId="29" fillId="13" borderId="0" xfId="0" applyFont="1" applyFill="1"/>
    <xf numFmtId="0" fontId="0" fillId="13" borderId="0" xfId="0" applyFill="1"/>
    <xf numFmtId="0" fontId="20" fillId="10" borderId="4" xfId="0" applyFont="1" applyFill="1" applyBorder="1" applyAlignment="1">
      <alignment vertical="center"/>
    </xf>
    <xf numFmtId="0" fontId="20" fillId="10" borderId="4" xfId="0" applyFont="1" applyFill="1" applyBorder="1" applyAlignment="1">
      <alignment horizontal="center" vertical="center"/>
    </xf>
    <xf numFmtId="0" fontId="20" fillId="10" borderId="4" xfId="0" applyFont="1" applyFill="1" applyBorder="1" applyAlignment="1">
      <alignment vertical="center" wrapText="1"/>
    </xf>
    <xf numFmtId="0" fontId="20" fillId="0" borderId="0" xfId="0" applyFont="1" applyBorder="1" applyAlignment="1">
      <alignment vertical="center"/>
    </xf>
    <xf numFmtId="0" fontId="20" fillId="0" borderId="0" xfId="0" applyFont="1" applyBorder="1" applyAlignment="1">
      <alignment horizontal="center" vertical="center"/>
    </xf>
    <xf numFmtId="0" fontId="20" fillId="0" borderId="0" xfId="0" applyFont="1" applyBorder="1" applyAlignment="1">
      <alignment vertical="center" wrapText="1"/>
    </xf>
    <xf numFmtId="0" fontId="20" fillId="0" borderId="0" xfId="0" applyFont="1" applyBorder="1" applyAlignment="1">
      <alignment vertical="center"/>
    </xf>
    <xf numFmtId="0" fontId="21" fillId="0" borderId="0" xfId="0" applyFont="1" applyBorder="1" applyAlignment="1">
      <alignment vertical="center"/>
    </xf>
    <xf numFmtId="0" fontId="0" fillId="0" borderId="0" xfId="0" applyBorder="1"/>
    <xf numFmtId="0" fontId="0" fillId="0" borderId="0" xfId="0" applyBorder="1" applyAlignment="1">
      <alignment wrapText="1"/>
    </xf>
    <xf numFmtId="0" fontId="20" fillId="0" borderId="5" xfId="0" applyFont="1" applyBorder="1" applyAlignment="1">
      <alignment vertical="center"/>
    </xf>
    <xf numFmtId="0" fontId="20" fillId="0" borderId="5" xfId="0" applyFont="1" applyBorder="1" applyAlignment="1">
      <alignment horizontal="center" vertical="center"/>
    </xf>
    <xf numFmtId="0" fontId="20" fillId="0" borderId="5" xfId="0" applyFont="1" applyBorder="1" applyAlignment="1">
      <alignment vertical="center" wrapText="1"/>
    </xf>
    <xf numFmtId="0" fontId="1" fillId="14" borderId="0" xfId="1"/>
    <xf numFmtId="0" fontId="31" fillId="0" borderId="2" xfId="0" applyFont="1" applyBorder="1" applyAlignment="1">
      <alignment horizontal="center" vertical="center"/>
    </xf>
    <xf numFmtId="0" fontId="0" fillId="0" borderId="0" xfId="0" applyAlignment="1">
      <alignment horizontal="left" vertical="top" wrapText="1"/>
    </xf>
  </cellXfs>
  <cellStyles count="2">
    <cellStyle name="20% - Accent6" xfId="1" builtinId="50"/>
    <cellStyle name="Normal" xfId="0" builtinId="0"/>
  </cellStyles>
  <dxfs count="2">
    <dxf>
      <font>
        <color rgb="FFC00000"/>
      </font>
    </dxf>
    <dxf>
      <font>
        <color rgb="FF4F6228"/>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4F6228"/>
      <rgbColor rgb="FF800080"/>
      <rgbColor rgb="FF008080"/>
      <rgbColor rgb="FFD9D9D9"/>
      <rgbColor rgb="FF808080"/>
      <rgbColor rgb="FF9999FF"/>
      <rgbColor rgb="FF993366"/>
      <rgbColor rgb="FFFDEADA"/>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F0D9"/>
      <rgbColor rgb="FFFCE4E4"/>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4F81BD"/>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showGridLines="0" zoomScaleNormal="100" workbookViewId="0">
      <selection activeCell="A19" sqref="A19"/>
    </sheetView>
  </sheetViews>
  <sheetFormatPr defaultColWidth="8.6328125" defaultRowHeight="14.5" x14ac:dyDescent="0.35"/>
  <cols>
    <col min="1" max="1" width="30" customWidth="1"/>
    <col min="2" max="5" width="16" customWidth="1"/>
    <col min="6" max="6" width="22" customWidth="1"/>
  </cols>
  <sheetData>
    <row r="1" spans="1:6" ht="27.75" customHeight="1" x14ac:dyDescent="0.35">
      <c r="A1" s="7" t="s">
        <v>0</v>
      </c>
      <c r="B1" s="7"/>
      <c r="C1" s="7"/>
      <c r="D1" s="7"/>
      <c r="E1" s="7"/>
      <c r="F1" s="7"/>
    </row>
    <row r="2" spans="1:6" ht="15.75" customHeight="1" x14ac:dyDescent="0.35">
      <c r="A2" s="6" t="s">
        <v>1</v>
      </c>
      <c r="B2" s="6"/>
      <c r="C2" s="6"/>
      <c r="D2" s="6"/>
      <c r="E2" s="6"/>
      <c r="F2" s="6"/>
    </row>
    <row r="3" spans="1:6" ht="39.75" customHeight="1" x14ac:dyDescent="0.35">
      <c r="A3" s="5" t="s">
        <v>2</v>
      </c>
      <c r="B3" s="5"/>
      <c r="C3" s="5"/>
      <c r="D3" s="5"/>
      <c r="E3" s="5"/>
      <c r="F3" s="5"/>
    </row>
    <row r="4" spans="1:6" ht="30" customHeight="1" x14ac:dyDescent="0.35">
      <c r="A4" s="11" t="s">
        <v>3</v>
      </c>
      <c r="B4" s="11" t="s">
        <v>4</v>
      </c>
      <c r="C4" s="11" t="s">
        <v>5</v>
      </c>
      <c r="D4" s="11" t="s">
        <v>6</v>
      </c>
      <c r="E4" s="11" t="s">
        <v>7</v>
      </c>
      <c r="F4" s="11" t="s">
        <v>8</v>
      </c>
    </row>
    <row r="5" spans="1:6" ht="14.25" customHeight="1" x14ac:dyDescent="0.35">
      <c r="A5" s="12" t="s">
        <v>9</v>
      </c>
      <c r="B5" s="13">
        <v>6475</v>
      </c>
      <c r="C5" s="14">
        <v>764.19</v>
      </c>
      <c r="D5" s="15">
        <v>0</v>
      </c>
      <c r="E5" s="16">
        <f t="shared" ref="E5:E17" si="0">C5-D5</f>
        <v>764.19</v>
      </c>
      <c r="F5" s="17">
        <f t="shared" ref="F5:F17" si="1">B5*C5*12</f>
        <v>59377563</v>
      </c>
    </row>
    <row r="6" spans="1:6" ht="14.25" customHeight="1" x14ac:dyDescent="0.35">
      <c r="A6" s="18" t="s">
        <v>10</v>
      </c>
      <c r="B6" s="19">
        <v>17649</v>
      </c>
      <c r="C6" s="20">
        <v>257.64</v>
      </c>
      <c r="D6" s="21">
        <v>0</v>
      </c>
      <c r="E6" s="22">
        <f t="shared" si="0"/>
        <v>257.64</v>
      </c>
      <c r="F6" s="23">
        <f t="shared" si="1"/>
        <v>54565060.319999993</v>
      </c>
    </row>
    <row r="7" spans="1:6" ht="14.25" customHeight="1" x14ac:dyDescent="0.35">
      <c r="A7" s="12" t="s">
        <v>11</v>
      </c>
      <c r="B7" s="13">
        <v>10049</v>
      </c>
      <c r="C7" s="14">
        <v>502.44</v>
      </c>
      <c r="D7" s="15">
        <v>0</v>
      </c>
      <c r="E7" s="16">
        <f t="shared" si="0"/>
        <v>502.44</v>
      </c>
      <c r="F7" s="17">
        <f t="shared" si="1"/>
        <v>60588234.719999999</v>
      </c>
    </row>
    <row r="8" spans="1:6" ht="14.25" customHeight="1" x14ac:dyDescent="0.35">
      <c r="A8" s="18" t="s">
        <v>12</v>
      </c>
      <c r="B8" s="19">
        <v>35802</v>
      </c>
      <c r="C8" s="20">
        <v>470.11</v>
      </c>
      <c r="D8" s="21">
        <v>0</v>
      </c>
      <c r="E8" s="22">
        <f t="shared" si="0"/>
        <v>470.11</v>
      </c>
      <c r="F8" s="23">
        <f t="shared" si="1"/>
        <v>201970538.63999999</v>
      </c>
    </row>
    <row r="9" spans="1:6" ht="14.25" customHeight="1" x14ac:dyDescent="0.35">
      <c r="A9" s="12" t="s">
        <v>13</v>
      </c>
      <c r="B9" s="13">
        <v>22258</v>
      </c>
      <c r="C9" s="14">
        <v>404.75</v>
      </c>
      <c r="D9" s="15">
        <v>0</v>
      </c>
      <c r="E9" s="16">
        <f t="shared" si="0"/>
        <v>404.75</v>
      </c>
      <c r="F9" s="17">
        <f t="shared" si="1"/>
        <v>108107106</v>
      </c>
    </row>
    <row r="10" spans="1:6" ht="14.25" customHeight="1" x14ac:dyDescent="0.35">
      <c r="A10" s="18" t="s">
        <v>14</v>
      </c>
      <c r="B10" s="19">
        <v>15937</v>
      </c>
      <c r="C10" s="20">
        <v>29.36</v>
      </c>
      <c r="D10" s="21">
        <v>0</v>
      </c>
      <c r="E10" s="22">
        <f t="shared" si="0"/>
        <v>29.36</v>
      </c>
      <c r="F10" s="23">
        <f t="shared" si="1"/>
        <v>5614923.8399999999</v>
      </c>
    </row>
    <row r="11" spans="1:6" ht="14.25" customHeight="1" x14ac:dyDescent="0.35">
      <c r="A11" s="12" t="s">
        <v>15</v>
      </c>
      <c r="B11" s="13">
        <v>3236</v>
      </c>
      <c r="C11" s="14">
        <v>29.12</v>
      </c>
      <c r="D11" s="15">
        <v>0</v>
      </c>
      <c r="E11" s="16">
        <f t="shared" si="0"/>
        <v>29.12</v>
      </c>
      <c r="F11" s="17">
        <f t="shared" si="1"/>
        <v>1130787.8400000001</v>
      </c>
    </row>
    <row r="12" spans="1:6" ht="14.25" customHeight="1" x14ac:dyDescent="0.35">
      <c r="A12" s="18" t="s">
        <v>16</v>
      </c>
      <c r="B12" s="19">
        <v>1594</v>
      </c>
      <c r="C12" s="20">
        <v>1068.01</v>
      </c>
      <c r="D12" s="21">
        <v>0</v>
      </c>
      <c r="E12" s="22">
        <f t="shared" si="0"/>
        <v>1068.01</v>
      </c>
      <c r="F12" s="23">
        <f t="shared" si="1"/>
        <v>20428895.280000001</v>
      </c>
    </row>
    <row r="13" spans="1:6" ht="14.25" customHeight="1" x14ac:dyDescent="0.35">
      <c r="A13" s="12" t="s">
        <v>17</v>
      </c>
      <c r="B13" s="13">
        <v>59588</v>
      </c>
      <c r="C13" s="14">
        <v>224.4</v>
      </c>
      <c r="D13" s="15">
        <v>0</v>
      </c>
      <c r="E13" s="16">
        <f t="shared" si="0"/>
        <v>224.4</v>
      </c>
      <c r="F13" s="17">
        <f t="shared" si="1"/>
        <v>160458566.40000001</v>
      </c>
    </row>
    <row r="14" spans="1:6" ht="14.25" customHeight="1" x14ac:dyDescent="0.35">
      <c r="A14" s="18" t="s">
        <v>18</v>
      </c>
      <c r="B14" s="19">
        <v>530</v>
      </c>
      <c r="C14" s="20">
        <v>68.19</v>
      </c>
      <c r="D14" s="21">
        <v>0</v>
      </c>
      <c r="E14" s="22">
        <f t="shared" si="0"/>
        <v>68.19</v>
      </c>
      <c r="F14" s="23">
        <f t="shared" si="1"/>
        <v>433688.39999999997</v>
      </c>
    </row>
    <row r="15" spans="1:6" ht="14.25" customHeight="1" x14ac:dyDescent="0.35">
      <c r="A15" s="12" t="s">
        <v>19</v>
      </c>
      <c r="B15" s="13">
        <v>4374</v>
      </c>
      <c r="C15" s="14">
        <v>165.45</v>
      </c>
      <c r="D15" s="15">
        <v>0</v>
      </c>
      <c r="E15" s="16">
        <f t="shared" si="0"/>
        <v>165.45</v>
      </c>
      <c r="F15" s="17">
        <f t="shared" si="1"/>
        <v>8684139.5999999996</v>
      </c>
    </row>
    <row r="16" spans="1:6" ht="14.25" customHeight="1" x14ac:dyDescent="0.35">
      <c r="A16" s="18" t="s">
        <v>20</v>
      </c>
      <c r="B16" s="19">
        <v>9568</v>
      </c>
      <c r="C16" s="20">
        <v>47.5</v>
      </c>
      <c r="D16" s="21">
        <v>0</v>
      </c>
      <c r="E16" s="22">
        <f t="shared" si="0"/>
        <v>47.5</v>
      </c>
      <c r="F16" s="23">
        <f t="shared" si="1"/>
        <v>5453760</v>
      </c>
    </row>
    <row r="17" spans="1:6" ht="14.25" customHeight="1" x14ac:dyDescent="0.35">
      <c r="A17" s="12" t="s">
        <v>21</v>
      </c>
      <c r="B17" s="13">
        <v>4596</v>
      </c>
      <c r="C17" s="14">
        <v>727.16</v>
      </c>
      <c r="D17" s="15">
        <v>0</v>
      </c>
      <c r="E17" s="16">
        <f t="shared" si="0"/>
        <v>727.16</v>
      </c>
      <c r="F17" s="17">
        <f t="shared" si="1"/>
        <v>40104328.32</v>
      </c>
    </row>
    <row r="18" spans="1:6" ht="18" customHeight="1" x14ac:dyDescent="0.35">
      <c r="A18" s="24" t="s">
        <v>22</v>
      </c>
      <c r="B18" s="25">
        <f>SUM(B5:B17)</f>
        <v>191656</v>
      </c>
      <c r="C18" s="26">
        <f>SUMPRODUCT(B5:B17,C5:C17)/SUM(B5:B17)</f>
        <v>316.06871702425178</v>
      </c>
      <c r="D18" s="27" t="s">
        <v>23</v>
      </c>
      <c r="E18" s="26">
        <f>SUMPRODUCT(B5:B17,E5:E17)/SUM(B5:B17)</f>
        <v>316.06871702425178</v>
      </c>
      <c r="F18" s="28">
        <f>SUM(F5:F17)</f>
        <v>726917592.3599999</v>
      </c>
    </row>
    <row r="19" spans="1:6" ht="14.25" customHeight="1" x14ac:dyDescent="0.35">
      <c r="A19" s="29" t="s">
        <v>24</v>
      </c>
    </row>
  </sheetData>
  <mergeCells count="3">
    <mergeCell ref="A1:F1"/>
    <mergeCell ref="A2:F2"/>
    <mergeCell ref="A3:F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showGridLines="0" zoomScaleNormal="100" workbookViewId="0">
      <pane ySplit="4" topLeftCell="A5" activePane="bottomLeft" state="frozen"/>
      <selection pane="bottomLeft" activeCell="A19" sqref="A19"/>
    </sheetView>
  </sheetViews>
  <sheetFormatPr defaultColWidth="8.6328125" defaultRowHeight="14.5" x14ac:dyDescent="0.35"/>
  <cols>
    <col min="1" max="1" width="28" customWidth="1"/>
    <col min="2" max="4" width="14" customWidth="1"/>
    <col min="5" max="5" width="11" customWidth="1"/>
    <col min="6" max="7" width="14" customWidth="1"/>
    <col min="8" max="8" width="16" customWidth="1"/>
    <col min="9" max="9" width="11" customWidth="1"/>
    <col min="10" max="12" width="18" customWidth="1"/>
  </cols>
  <sheetData>
    <row r="1" spans="1:12" ht="27.75" customHeight="1" x14ac:dyDescent="0.35">
      <c r="A1" s="7" t="s">
        <v>25</v>
      </c>
      <c r="B1" s="7"/>
      <c r="C1" s="7"/>
      <c r="D1" s="7"/>
      <c r="E1" s="7"/>
      <c r="F1" s="7"/>
      <c r="G1" s="7"/>
      <c r="H1" s="7"/>
      <c r="I1" s="7"/>
      <c r="J1" s="7"/>
      <c r="K1" s="7"/>
      <c r="L1" s="7"/>
    </row>
    <row r="2" spans="1:12" ht="15.75" customHeight="1" x14ac:dyDescent="0.35">
      <c r="A2" s="6" t="s">
        <v>26</v>
      </c>
      <c r="B2" s="6"/>
      <c r="C2" s="6"/>
      <c r="D2" s="6"/>
      <c r="E2" s="6"/>
      <c r="F2" s="6"/>
      <c r="G2" s="6"/>
      <c r="H2" s="6"/>
      <c r="I2" s="6"/>
      <c r="J2" s="6"/>
      <c r="K2" s="6"/>
      <c r="L2" s="6"/>
    </row>
    <row r="3" spans="1:12" ht="34.5" customHeight="1" x14ac:dyDescent="0.35">
      <c r="A3" s="5" t="s">
        <v>27</v>
      </c>
      <c r="B3" s="5"/>
      <c r="C3" s="5"/>
      <c r="D3" s="5"/>
      <c r="E3" s="5"/>
      <c r="F3" s="5"/>
      <c r="G3" s="5"/>
      <c r="H3" s="5"/>
      <c r="I3" s="5"/>
      <c r="J3" s="5"/>
      <c r="K3" s="5"/>
      <c r="L3" s="5"/>
    </row>
    <row r="4" spans="1:12" ht="30" customHeight="1" x14ac:dyDescent="0.35">
      <c r="A4" s="11" t="s">
        <v>28</v>
      </c>
      <c r="B4" s="11" t="s">
        <v>29</v>
      </c>
      <c r="C4" s="11" t="s">
        <v>30</v>
      </c>
      <c r="D4" s="11" t="s">
        <v>31</v>
      </c>
      <c r="E4" s="11" t="s">
        <v>32</v>
      </c>
      <c r="F4" s="11" t="s">
        <v>33</v>
      </c>
      <c r="G4" s="11" t="s">
        <v>34</v>
      </c>
      <c r="H4" s="11" t="s">
        <v>35</v>
      </c>
      <c r="I4" s="11" t="s">
        <v>36</v>
      </c>
      <c r="J4" s="11" t="s">
        <v>37</v>
      </c>
      <c r="K4" s="11" t="s">
        <v>38</v>
      </c>
      <c r="L4" s="11" t="s">
        <v>39</v>
      </c>
    </row>
    <row r="5" spans="1:12" ht="15.75" customHeight="1" x14ac:dyDescent="0.35">
      <c r="A5" s="12" t="s">
        <v>9</v>
      </c>
      <c r="B5" s="30">
        <v>6475</v>
      </c>
      <c r="C5" s="30">
        <v>6117</v>
      </c>
      <c r="D5" s="31">
        <f t="shared" ref="D5:D17" si="0">C5-B5</f>
        <v>-358</v>
      </c>
      <c r="E5" s="32">
        <f t="shared" ref="E5:E17" si="1">D5/B5</f>
        <v>-5.5289575289575288E-2</v>
      </c>
      <c r="F5" s="33">
        <v>764.19</v>
      </c>
      <c r="G5" s="33">
        <v>832.45</v>
      </c>
      <c r="H5" s="34">
        <f t="shared" ref="H5:H17" si="2">G5-F5</f>
        <v>68.259999999999991</v>
      </c>
      <c r="I5" s="32">
        <f t="shared" ref="I5:I17" si="3">H5/F5</f>
        <v>8.9323335819625996E-2</v>
      </c>
      <c r="J5" s="35">
        <f t="shared" ref="J5:J17" si="4">B5*F5*12</f>
        <v>59377563</v>
      </c>
      <c r="K5" s="35">
        <f t="shared" ref="K5:K17" si="5">C5*G5*12</f>
        <v>61105159.800000004</v>
      </c>
      <c r="L5" s="36">
        <f t="shared" ref="L5:L17" si="6">K5-J5</f>
        <v>1727596.8000000045</v>
      </c>
    </row>
    <row r="6" spans="1:12" ht="15.75" customHeight="1" x14ac:dyDescent="0.35">
      <c r="A6" s="12" t="s">
        <v>10</v>
      </c>
      <c r="B6" s="30">
        <v>17649</v>
      </c>
      <c r="C6" s="30">
        <v>18307</v>
      </c>
      <c r="D6" s="31">
        <f t="shared" si="0"/>
        <v>658</v>
      </c>
      <c r="E6" s="32">
        <f t="shared" si="1"/>
        <v>3.7282565584452379E-2</v>
      </c>
      <c r="F6" s="33">
        <v>257.64</v>
      </c>
      <c r="G6" s="33">
        <v>233.05</v>
      </c>
      <c r="H6" s="34">
        <f t="shared" si="2"/>
        <v>-24.589999999999975</v>
      </c>
      <c r="I6" s="32">
        <f t="shared" si="3"/>
        <v>-9.5443254153081733E-2</v>
      </c>
      <c r="J6" s="35">
        <f t="shared" si="4"/>
        <v>54565060.319999993</v>
      </c>
      <c r="K6" s="35">
        <f t="shared" si="5"/>
        <v>51197356.200000003</v>
      </c>
      <c r="L6" s="36">
        <f t="shared" si="6"/>
        <v>-3367704.1199999899</v>
      </c>
    </row>
    <row r="7" spans="1:12" ht="15.75" customHeight="1" x14ac:dyDescent="0.35">
      <c r="A7" s="12" t="s">
        <v>11</v>
      </c>
      <c r="B7" s="30">
        <v>10049</v>
      </c>
      <c r="C7" s="30">
        <v>16159</v>
      </c>
      <c r="D7" s="31">
        <f t="shared" si="0"/>
        <v>6110</v>
      </c>
      <c r="E7" s="32">
        <f t="shared" si="1"/>
        <v>0.60802069857697283</v>
      </c>
      <c r="F7" s="33">
        <v>502.44</v>
      </c>
      <c r="G7" s="33">
        <v>362.05</v>
      </c>
      <c r="H7" s="34">
        <f t="shared" si="2"/>
        <v>-140.38999999999999</v>
      </c>
      <c r="I7" s="32">
        <f t="shared" si="3"/>
        <v>-0.27941644773505292</v>
      </c>
      <c r="J7" s="35">
        <f t="shared" si="4"/>
        <v>60588234.719999999</v>
      </c>
      <c r="K7" s="35">
        <f t="shared" si="5"/>
        <v>70204391.400000006</v>
      </c>
      <c r="L7" s="36">
        <f t="shared" si="6"/>
        <v>9616156.6800000072</v>
      </c>
    </row>
    <row r="8" spans="1:12" ht="15.75" customHeight="1" x14ac:dyDescent="0.35">
      <c r="A8" s="37" t="s">
        <v>12</v>
      </c>
      <c r="B8" s="30">
        <v>35802</v>
      </c>
      <c r="C8" s="30">
        <v>47805</v>
      </c>
      <c r="D8" s="31">
        <f t="shared" si="0"/>
        <v>12003</v>
      </c>
      <c r="E8" s="32">
        <f t="shared" si="1"/>
        <v>0.33526059996648233</v>
      </c>
      <c r="F8" s="33">
        <v>470.11</v>
      </c>
      <c r="G8" s="33">
        <v>441.97</v>
      </c>
      <c r="H8" s="34">
        <f t="shared" si="2"/>
        <v>-28.139999999999986</v>
      </c>
      <c r="I8" s="32">
        <f t="shared" si="3"/>
        <v>-5.9858331028908099E-2</v>
      </c>
      <c r="J8" s="35">
        <f t="shared" si="4"/>
        <v>201970538.63999999</v>
      </c>
      <c r="K8" s="35">
        <f t="shared" si="5"/>
        <v>253540510.20000002</v>
      </c>
      <c r="L8" s="36">
        <f t="shared" si="6"/>
        <v>51569971.560000032</v>
      </c>
    </row>
    <row r="9" spans="1:12" ht="15.75" customHeight="1" x14ac:dyDescent="0.35">
      <c r="A9" s="37" t="s">
        <v>13</v>
      </c>
      <c r="B9" s="30">
        <v>22258</v>
      </c>
      <c r="C9" s="30">
        <v>25109</v>
      </c>
      <c r="D9" s="31">
        <f t="shared" si="0"/>
        <v>2851</v>
      </c>
      <c r="E9" s="32">
        <f t="shared" si="1"/>
        <v>0.12808877706891905</v>
      </c>
      <c r="F9" s="33">
        <v>404.75</v>
      </c>
      <c r="G9" s="33">
        <v>437.2</v>
      </c>
      <c r="H9" s="34">
        <f t="shared" si="2"/>
        <v>32.449999999999989</v>
      </c>
      <c r="I9" s="32">
        <f t="shared" si="3"/>
        <v>8.0172946263125364E-2</v>
      </c>
      <c r="J9" s="35">
        <f t="shared" si="4"/>
        <v>108107106</v>
      </c>
      <c r="K9" s="35">
        <f t="shared" si="5"/>
        <v>131731857.59999999</v>
      </c>
      <c r="L9" s="36">
        <f t="shared" si="6"/>
        <v>23624751.599999994</v>
      </c>
    </row>
    <row r="10" spans="1:12" ht="15.75" customHeight="1" x14ac:dyDescent="0.35">
      <c r="A10" s="12" t="s">
        <v>14</v>
      </c>
      <c r="B10" s="30">
        <v>15937</v>
      </c>
      <c r="C10" s="30">
        <v>12471</v>
      </c>
      <c r="D10" s="31">
        <f t="shared" si="0"/>
        <v>-3466</v>
      </c>
      <c r="E10" s="32">
        <f t="shared" si="1"/>
        <v>-0.21748133274769404</v>
      </c>
      <c r="F10" s="33">
        <v>29.36</v>
      </c>
      <c r="G10" s="33">
        <v>30.23</v>
      </c>
      <c r="H10" s="34">
        <f t="shared" si="2"/>
        <v>0.87000000000000099</v>
      </c>
      <c r="I10" s="32">
        <f t="shared" si="3"/>
        <v>2.9632152588555893E-2</v>
      </c>
      <c r="J10" s="35">
        <f t="shared" si="4"/>
        <v>5614923.8399999999</v>
      </c>
      <c r="K10" s="35">
        <f t="shared" si="5"/>
        <v>4523979.96</v>
      </c>
      <c r="L10" s="36">
        <f t="shared" si="6"/>
        <v>-1090943.8799999999</v>
      </c>
    </row>
    <row r="11" spans="1:12" ht="15.75" customHeight="1" x14ac:dyDescent="0.35">
      <c r="A11" s="12" t="s">
        <v>15</v>
      </c>
      <c r="B11" s="30">
        <v>3236</v>
      </c>
      <c r="C11" s="30">
        <v>3041</v>
      </c>
      <c r="D11" s="31">
        <f t="shared" si="0"/>
        <v>-195</v>
      </c>
      <c r="E11" s="32">
        <f t="shared" si="1"/>
        <v>-6.0259579728059336E-2</v>
      </c>
      <c r="F11" s="33">
        <v>29.12</v>
      </c>
      <c r="G11" s="33">
        <v>26.99</v>
      </c>
      <c r="H11" s="34">
        <f t="shared" si="2"/>
        <v>-2.1300000000000026</v>
      </c>
      <c r="I11" s="32">
        <f t="shared" si="3"/>
        <v>-7.3145604395604483E-2</v>
      </c>
      <c r="J11" s="35">
        <f t="shared" si="4"/>
        <v>1130787.8400000001</v>
      </c>
      <c r="K11" s="35">
        <f t="shared" si="5"/>
        <v>984919.08</v>
      </c>
      <c r="L11" s="36">
        <f t="shared" si="6"/>
        <v>-145868.76000000013</v>
      </c>
    </row>
    <row r="12" spans="1:12" ht="15.75" customHeight="1" x14ac:dyDescent="0.35">
      <c r="A12" s="38" t="s">
        <v>16</v>
      </c>
      <c r="B12" s="39">
        <v>1594</v>
      </c>
      <c r="C12" s="39">
        <v>1535</v>
      </c>
      <c r="D12" s="40">
        <f t="shared" si="0"/>
        <v>-59</v>
      </c>
      <c r="E12" s="41">
        <f t="shared" si="1"/>
        <v>-3.7013801756587202E-2</v>
      </c>
      <c r="F12" s="42">
        <v>1068.01</v>
      </c>
      <c r="G12" s="42">
        <v>1015.84</v>
      </c>
      <c r="H12" s="43">
        <f t="shared" si="2"/>
        <v>-52.169999999999959</v>
      </c>
      <c r="I12" s="41">
        <f t="shared" si="3"/>
        <v>-4.884785722980118E-2</v>
      </c>
      <c r="J12" s="44">
        <f t="shared" si="4"/>
        <v>20428895.280000001</v>
      </c>
      <c r="K12" s="44">
        <f t="shared" si="5"/>
        <v>18711772.800000001</v>
      </c>
      <c r="L12" s="45">
        <f t="shared" si="6"/>
        <v>-1717122.4800000004</v>
      </c>
    </row>
    <row r="13" spans="1:12" ht="15.75" customHeight="1" x14ac:dyDescent="0.35">
      <c r="A13" s="37" t="s">
        <v>17</v>
      </c>
      <c r="B13" s="30">
        <v>59588</v>
      </c>
      <c r="C13" s="30">
        <v>61833</v>
      </c>
      <c r="D13" s="31">
        <f t="shared" si="0"/>
        <v>2245</v>
      </c>
      <c r="E13" s="32">
        <f t="shared" si="1"/>
        <v>3.7675370880042962E-2</v>
      </c>
      <c r="F13" s="33">
        <v>224.4</v>
      </c>
      <c r="G13" s="33">
        <v>252.33</v>
      </c>
      <c r="H13" s="34">
        <f t="shared" si="2"/>
        <v>27.930000000000007</v>
      </c>
      <c r="I13" s="32">
        <f t="shared" si="3"/>
        <v>0.12446524064171126</v>
      </c>
      <c r="J13" s="35">
        <f t="shared" si="4"/>
        <v>160458566.40000001</v>
      </c>
      <c r="K13" s="35">
        <f t="shared" si="5"/>
        <v>187227850.68000001</v>
      </c>
      <c r="L13" s="36">
        <f t="shared" si="6"/>
        <v>26769284.280000001</v>
      </c>
    </row>
    <row r="14" spans="1:12" ht="15.75" customHeight="1" x14ac:dyDescent="0.35">
      <c r="A14" s="38" t="s">
        <v>18</v>
      </c>
      <c r="B14" s="39">
        <v>530</v>
      </c>
      <c r="C14" s="39">
        <v>616</v>
      </c>
      <c r="D14" s="40">
        <f t="shared" si="0"/>
        <v>86</v>
      </c>
      <c r="E14" s="41">
        <f t="shared" si="1"/>
        <v>0.16226415094339622</v>
      </c>
      <c r="F14" s="42">
        <v>68.19</v>
      </c>
      <c r="G14" s="42">
        <v>68.41</v>
      </c>
      <c r="H14" s="43">
        <f t="shared" si="2"/>
        <v>0.21999999999999886</v>
      </c>
      <c r="I14" s="41">
        <f t="shared" si="3"/>
        <v>3.2262795131250753E-3</v>
      </c>
      <c r="J14" s="44">
        <f t="shared" si="4"/>
        <v>433688.39999999997</v>
      </c>
      <c r="K14" s="44">
        <f t="shared" si="5"/>
        <v>505686.72</v>
      </c>
      <c r="L14" s="45">
        <f t="shared" si="6"/>
        <v>71998.320000000007</v>
      </c>
    </row>
    <row r="15" spans="1:12" ht="15.75" customHeight="1" x14ac:dyDescent="0.35">
      <c r="A15" s="12" t="s">
        <v>19</v>
      </c>
      <c r="B15" s="30">
        <v>4374</v>
      </c>
      <c r="C15" s="30">
        <v>4707</v>
      </c>
      <c r="D15" s="31">
        <f t="shared" si="0"/>
        <v>333</v>
      </c>
      <c r="E15" s="32">
        <f t="shared" si="1"/>
        <v>7.6131687242798354E-2</v>
      </c>
      <c r="F15" s="33">
        <v>165.45</v>
      </c>
      <c r="G15" s="33">
        <v>175.64</v>
      </c>
      <c r="H15" s="34">
        <f t="shared" si="2"/>
        <v>10.189999999999998</v>
      </c>
      <c r="I15" s="32">
        <f t="shared" si="3"/>
        <v>6.1589604110003013E-2</v>
      </c>
      <c r="J15" s="35">
        <f t="shared" si="4"/>
        <v>8684139.5999999996</v>
      </c>
      <c r="K15" s="35">
        <f t="shared" si="5"/>
        <v>9920849.7599999998</v>
      </c>
      <c r="L15" s="36">
        <f t="shared" si="6"/>
        <v>1236710.1600000001</v>
      </c>
    </row>
    <row r="16" spans="1:12" ht="15.75" customHeight="1" x14ac:dyDescent="0.35">
      <c r="A16" s="12" t="s">
        <v>20</v>
      </c>
      <c r="B16" s="30">
        <v>9568</v>
      </c>
      <c r="C16" s="30">
        <v>9616</v>
      </c>
      <c r="D16" s="31">
        <f t="shared" si="0"/>
        <v>48</v>
      </c>
      <c r="E16" s="32">
        <f t="shared" si="1"/>
        <v>5.016722408026756E-3</v>
      </c>
      <c r="F16" s="33">
        <v>47.5</v>
      </c>
      <c r="G16" s="33">
        <v>55.4</v>
      </c>
      <c r="H16" s="34">
        <f t="shared" si="2"/>
        <v>7.8999999999999986</v>
      </c>
      <c r="I16" s="32">
        <f t="shared" si="3"/>
        <v>0.16631578947368417</v>
      </c>
      <c r="J16" s="35">
        <f t="shared" si="4"/>
        <v>5453760</v>
      </c>
      <c r="K16" s="35">
        <f t="shared" si="5"/>
        <v>6392716.8000000007</v>
      </c>
      <c r="L16" s="36">
        <f t="shared" si="6"/>
        <v>938956.80000000075</v>
      </c>
    </row>
    <row r="17" spans="1:12" ht="15.75" customHeight="1" x14ac:dyDescent="0.35">
      <c r="A17" s="38" t="s">
        <v>21</v>
      </c>
      <c r="B17" s="39">
        <v>4596</v>
      </c>
      <c r="C17" s="39">
        <v>4448</v>
      </c>
      <c r="D17" s="40">
        <f t="shared" si="0"/>
        <v>-148</v>
      </c>
      <c r="E17" s="41">
        <f t="shared" si="1"/>
        <v>-3.2201914708442123E-2</v>
      </c>
      <c r="F17" s="42">
        <v>727.16</v>
      </c>
      <c r="G17" s="42">
        <v>710.49</v>
      </c>
      <c r="H17" s="43">
        <f t="shared" si="2"/>
        <v>-16.669999999999959</v>
      </c>
      <c r="I17" s="41">
        <f t="shared" si="3"/>
        <v>-2.2924803344518345E-2</v>
      </c>
      <c r="J17" s="44">
        <f t="shared" si="4"/>
        <v>40104328.32</v>
      </c>
      <c r="K17" s="44">
        <f t="shared" si="5"/>
        <v>37923114.240000002</v>
      </c>
      <c r="L17" s="45">
        <f t="shared" si="6"/>
        <v>-2181214.0799999982</v>
      </c>
    </row>
    <row r="18" spans="1:12" ht="18" customHeight="1" x14ac:dyDescent="0.35">
      <c r="A18" s="24" t="s">
        <v>40</v>
      </c>
      <c r="B18" s="25">
        <f>SUM(B5:B17)</f>
        <v>191656</v>
      </c>
      <c r="C18" s="25">
        <f>SUM(C5:C17)</f>
        <v>211764</v>
      </c>
      <c r="D18" s="46">
        <f>SUM(D5:D17)</f>
        <v>20108</v>
      </c>
      <c r="E18" s="47" t="s">
        <v>23</v>
      </c>
      <c r="F18" s="47" t="s">
        <v>23</v>
      </c>
      <c r="G18" s="47" t="s">
        <v>23</v>
      </c>
      <c r="H18" s="47" t="s">
        <v>23</v>
      </c>
      <c r="I18" s="47" t="s">
        <v>23</v>
      </c>
      <c r="J18" s="28">
        <f>SUM(J5:J17)</f>
        <v>726917592.3599999</v>
      </c>
      <c r="K18" s="28">
        <f>SUM(K5:K17)</f>
        <v>833970165.24000001</v>
      </c>
      <c r="L18" s="48">
        <f>SUM(L5:L17)</f>
        <v>107052572.88000003</v>
      </c>
    </row>
    <row r="19" spans="1:12" ht="14.25" customHeight="1" x14ac:dyDescent="0.35">
      <c r="A19" s="29" t="s">
        <v>41</v>
      </c>
    </row>
  </sheetData>
  <mergeCells count="3">
    <mergeCell ref="A1:L1"/>
    <mergeCell ref="A2:L2"/>
    <mergeCell ref="A3:L3"/>
  </mergeCells>
  <conditionalFormatting sqref="L5:L17">
    <cfRule type="cellIs" dxfId="1" priority="2" operator="lessThan">
      <formula>0</formula>
    </cfRule>
    <cfRule type="cellIs" dxfId="0" priority="3"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showGridLines="0" zoomScale="85" zoomScaleNormal="85" workbookViewId="0">
      <selection activeCell="C25" sqref="C25"/>
    </sheetView>
  </sheetViews>
  <sheetFormatPr defaultColWidth="8.6328125" defaultRowHeight="14.5" x14ac:dyDescent="0.35"/>
  <cols>
    <col min="1" max="1" width="28" customWidth="1"/>
    <col min="2" max="2" width="18" customWidth="1"/>
    <col min="3" max="5" width="16" customWidth="1"/>
    <col min="6" max="6" width="12" customWidth="1"/>
    <col min="7" max="7" width="66.36328125" style="49" customWidth="1"/>
    <col min="8" max="8" width="81.6328125" style="49" customWidth="1"/>
  </cols>
  <sheetData>
    <row r="1" spans="1:8" ht="27.75" customHeight="1" x14ac:dyDescent="0.35">
      <c r="A1" s="10" t="s">
        <v>42</v>
      </c>
      <c r="B1" s="10"/>
      <c r="C1" s="10"/>
      <c r="D1" s="10"/>
      <c r="E1" s="10"/>
      <c r="F1" s="10"/>
      <c r="G1" s="10"/>
      <c r="H1" s="10"/>
    </row>
    <row r="2" spans="1:8" ht="15.75" customHeight="1" x14ac:dyDescent="0.35">
      <c r="A2" s="9" t="s">
        <v>43</v>
      </c>
      <c r="B2" s="9"/>
      <c r="C2" s="9"/>
      <c r="D2" s="9"/>
      <c r="E2" s="9"/>
      <c r="F2" s="9"/>
      <c r="G2" s="9"/>
      <c r="H2" s="9"/>
    </row>
    <row r="3" spans="1:8" ht="57.5" customHeight="1" x14ac:dyDescent="0.35">
      <c r="A3" s="8" t="s">
        <v>44</v>
      </c>
      <c r="B3" s="8"/>
      <c r="C3" s="8"/>
      <c r="D3" s="8"/>
      <c r="E3" s="8"/>
      <c r="F3" s="8"/>
      <c r="G3" s="8"/>
      <c r="H3" s="8"/>
    </row>
    <row r="4" spans="1:8" ht="19.5" customHeight="1" x14ac:dyDescent="0.35">
      <c r="A4" s="50" t="s">
        <v>28</v>
      </c>
      <c r="B4" s="51" t="s">
        <v>45</v>
      </c>
      <c r="C4" s="52" t="s">
        <v>46</v>
      </c>
      <c r="D4" s="52" t="s">
        <v>47</v>
      </c>
      <c r="E4" s="52" t="s">
        <v>48</v>
      </c>
      <c r="F4" s="51" t="s">
        <v>49</v>
      </c>
      <c r="G4" s="53" t="s">
        <v>50</v>
      </c>
      <c r="H4" s="53" t="s">
        <v>51</v>
      </c>
    </row>
    <row r="5" spans="1:8" ht="66" customHeight="1" x14ac:dyDescent="0.35">
      <c r="A5" s="54" t="s">
        <v>9</v>
      </c>
      <c r="B5" s="55" t="s">
        <v>52</v>
      </c>
      <c r="C5" s="55" t="s">
        <v>53</v>
      </c>
      <c r="D5" s="55" t="s">
        <v>54</v>
      </c>
      <c r="E5" s="55" t="s">
        <v>55</v>
      </c>
      <c r="F5" s="55" t="s">
        <v>56</v>
      </c>
      <c r="G5" s="56" t="s">
        <v>57</v>
      </c>
      <c r="H5" s="57" t="s">
        <v>58</v>
      </c>
    </row>
    <row r="6" spans="1:8" ht="88" customHeight="1" x14ac:dyDescent="0.35">
      <c r="A6" s="58" t="s">
        <v>10</v>
      </c>
      <c r="B6" s="59" t="s">
        <v>52</v>
      </c>
      <c r="C6" s="59" t="s">
        <v>59</v>
      </c>
      <c r="D6" s="59" t="s">
        <v>60</v>
      </c>
      <c r="E6" s="60" t="s">
        <v>61</v>
      </c>
      <c r="F6" s="59" t="s">
        <v>62</v>
      </c>
      <c r="G6" s="61" t="s">
        <v>63</v>
      </c>
      <c r="H6" s="62" t="s">
        <v>58</v>
      </c>
    </row>
    <row r="7" spans="1:8" ht="83.5" customHeight="1" x14ac:dyDescent="0.35">
      <c r="A7" s="54" t="s">
        <v>11</v>
      </c>
      <c r="B7" s="55" t="s">
        <v>64</v>
      </c>
      <c r="C7" s="55">
        <v>10049</v>
      </c>
      <c r="D7" s="55">
        <v>16159</v>
      </c>
      <c r="E7" s="63">
        <v>6110</v>
      </c>
      <c r="F7" s="55" t="s">
        <v>65</v>
      </c>
      <c r="G7" s="56" t="s">
        <v>66</v>
      </c>
      <c r="H7" s="57" t="s">
        <v>67</v>
      </c>
    </row>
    <row r="8" spans="1:8" ht="60" customHeight="1" x14ac:dyDescent="0.35">
      <c r="A8" s="58" t="s">
        <v>11</v>
      </c>
      <c r="B8" s="59" t="s">
        <v>52</v>
      </c>
      <c r="C8" s="59" t="s">
        <v>68</v>
      </c>
      <c r="D8" s="59" t="s">
        <v>69</v>
      </c>
      <c r="E8" s="60" t="s">
        <v>70</v>
      </c>
      <c r="F8" s="59" t="s">
        <v>71</v>
      </c>
      <c r="G8" s="61" t="s">
        <v>72</v>
      </c>
      <c r="H8" s="62" t="s">
        <v>73</v>
      </c>
    </row>
    <row r="9" spans="1:8" ht="69" customHeight="1" x14ac:dyDescent="0.35">
      <c r="A9" s="64" t="s">
        <v>12</v>
      </c>
      <c r="B9" s="65" t="s">
        <v>64</v>
      </c>
      <c r="C9" s="65">
        <v>35802</v>
      </c>
      <c r="D9" s="65">
        <v>47805</v>
      </c>
      <c r="E9" s="66">
        <v>12003</v>
      </c>
      <c r="F9" s="65" t="s">
        <v>74</v>
      </c>
      <c r="G9" s="67" t="s">
        <v>75</v>
      </c>
      <c r="H9" s="68" t="s">
        <v>67</v>
      </c>
    </row>
    <row r="10" spans="1:8" ht="60" customHeight="1" x14ac:dyDescent="0.35">
      <c r="A10" s="64" t="s">
        <v>13</v>
      </c>
      <c r="B10" s="65" t="s">
        <v>64</v>
      </c>
      <c r="C10" s="65">
        <v>22258</v>
      </c>
      <c r="D10" s="65">
        <v>25109</v>
      </c>
      <c r="E10" s="65">
        <v>2851</v>
      </c>
      <c r="F10" s="65" t="s">
        <v>76</v>
      </c>
      <c r="G10" s="67" t="s">
        <v>77</v>
      </c>
      <c r="H10" s="68" t="s">
        <v>67</v>
      </c>
    </row>
    <row r="11" spans="1:8" ht="60" customHeight="1" x14ac:dyDescent="0.35">
      <c r="A11" s="64" t="s">
        <v>17</v>
      </c>
      <c r="B11" s="65" t="s">
        <v>52</v>
      </c>
      <c r="C11" s="65" t="s">
        <v>78</v>
      </c>
      <c r="D11" s="65" t="s">
        <v>79</v>
      </c>
      <c r="E11" s="65" t="s">
        <v>80</v>
      </c>
      <c r="F11" s="65" t="s">
        <v>81</v>
      </c>
      <c r="G11" s="67" t="s">
        <v>82</v>
      </c>
      <c r="H11" s="68" t="s">
        <v>58</v>
      </c>
    </row>
    <row r="12" spans="1:8" ht="84.5" customHeight="1" x14ac:dyDescent="0.35">
      <c r="A12" s="69" t="s">
        <v>18</v>
      </c>
      <c r="B12" s="69" t="s">
        <v>64</v>
      </c>
      <c r="C12" s="70">
        <v>530</v>
      </c>
      <c r="D12" s="70">
        <v>616</v>
      </c>
      <c r="E12" s="70">
        <v>86</v>
      </c>
      <c r="F12" s="70" t="s">
        <v>83</v>
      </c>
      <c r="G12" s="71" t="s">
        <v>84</v>
      </c>
      <c r="H12" s="71" t="s">
        <v>67</v>
      </c>
    </row>
    <row r="13" spans="1:8" ht="46.5" customHeight="1" x14ac:dyDescent="0.35">
      <c r="A13" s="72" t="s">
        <v>19</v>
      </c>
      <c r="B13" s="69" t="s">
        <v>64</v>
      </c>
      <c r="C13" s="70">
        <v>4374</v>
      </c>
      <c r="D13" s="70">
        <v>4707</v>
      </c>
      <c r="E13" s="70">
        <v>333</v>
      </c>
      <c r="F13" s="70" t="s">
        <v>85</v>
      </c>
      <c r="G13" s="71" t="s">
        <v>86</v>
      </c>
      <c r="H13" s="71" t="s">
        <v>87</v>
      </c>
    </row>
    <row r="14" spans="1:8" ht="89" customHeight="1" x14ac:dyDescent="0.35">
      <c r="A14" s="69" t="s">
        <v>20</v>
      </c>
      <c r="B14" s="69" t="s">
        <v>52</v>
      </c>
      <c r="C14" s="70" t="s">
        <v>88</v>
      </c>
      <c r="D14" s="70" t="s">
        <v>89</v>
      </c>
      <c r="E14" s="70" t="s">
        <v>90</v>
      </c>
      <c r="F14" s="70" t="s">
        <v>91</v>
      </c>
      <c r="G14" s="71" t="s">
        <v>92</v>
      </c>
      <c r="H14" s="71" t="s">
        <v>73</v>
      </c>
    </row>
    <row r="15" spans="1:8" ht="96" customHeight="1" x14ac:dyDescent="0.35">
      <c r="A15" s="90" t="s">
        <v>14</v>
      </c>
      <c r="B15" s="90" t="s">
        <v>64</v>
      </c>
      <c r="C15" s="91">
        <v>15937</v>
      </c>
      <c r="D15" s="91">
        <v>12471</v>
      </c>
      <c r="E15" s="91" t="s">
        <v>93</v>
      </c>
      <c r="F15" s="91" t="s">
        <v>94</v>
      </c>
      <c r="G15" s="92" t="s">
        <v>95</v>
      </c>
      <c r="H15" s="92" t="s">
        <v>67</v>
      </c>
    </row>
    <row r="16" spans="1:8" ht="60.75" customHeight="1" x14ac:dyDescent="0.35">
      <c r="A16" s="100"/>
      <c r="B16" s="100"/>
      <c r="C16" s="101"/>
      <c r="D16" s="101"/>
      <c r="E16" s="101"/>
      <c r="F16" s="101"/>
      <c r="G16" s="102"/>
      <c r="H16" s="102"/>
    </row>
    <row r="17" spans="1:8" ht="66" customHeight="1" x14ac:dyDescent="0.35">
      <c r="A17" s="96"/>
      <c r="B17" s="96"/>
      <c r="C17" s="96"/>
      <c r="D17" s="96"/>
      <c r="E17" s="96"/>
      <c r="F17" s="96"/>
      <c r="G17" s="96"/>
      <c r="H17" s="96"/>
    </row>
    <row r="18" spans="1:8" ht="66" customHeight="1" x14ac:dyDescent="0.35">
      <c r="A18" s="93"/>
      <c r="B18" s="93"/>
      <c r="C18" s="94"/>
      <c r="D18" s="94"/>
      <c r="E18" s="94"/>
      <c r="F18" s="94"/>
      <c r="G18" s="95"/>
      <c r="H18" s="95"/>
    </row>
    <row r="19" spans="1:8" ht="57" customHeight="1" x14ac:dyDescent="0.35">
      <c r="A19" s="93"/>
      <c r="B19" s="93"/>
      <c r="C19" s="94"/>
      <c r="D19" s="94"/>
      <c r="E19" s="94"/>
      <c r="F19" s="94"/>
      <c r="G19" s="95"/>
      <c r="H19" s="95"/>
    </row>
    <row r="20" spans="1:8" ht="74.25" customHeight="1" x14ac:dyDescent="0.35">
      <c r="A20" s="93"/>
      <c r="B20" s="93"/>
      <c r="C20" s="94"/>
      <c r="D20" s="94"/>
      <c r="E20" s="94"/>
      <c r="F20" s="94"/>
      <c r="G20" s="95"/>
      <c r="H20" s="95"/>
    </row>
    <row r="21" spans="1:8" ht="72" customHeight="1" x14ac:dyDescent="0.35">
      <c r="A21" s="97"/>
      <c r="B21" s="93"/>
      <c r="C21" s="94"/>
      <c r="D21" s="94"/>
      <c r="E21" s="94"/>
      <c r="F21" s="94"/>
      <c r="G21" s="95"/>
      <c r="H21" s="95"/>
    </row>
    <row r="22" spans="1:8" ht="61.5" customHeight="1" x14ac:dyDescent="0.35">
      <c r="A22" s="97"/>
      <c r="B22" s="93"/>
      <c r="C22" s="94"/>
      <c r="D22" s="94"/>
      <c r="E22" s="94"/>
      <c r="F22" s="94"/>
      <c r="G22" s="95"/>
      <c r="H22" s="95"/>
    </row>
    <row r="23" spans="1:8" ht="84" customHeight="1" x14ac:dyDescent="0.35">
      <c r="A23" s="93"/>
      <c r="B23" s="93"/>
      <c r="C23" s="94"/>
      <c r="D23" s="94"/>
      <c r="E23" s="94"/>
      <c r="F23" s="94"/>
      <c r="G23" s="95"/>
      <c r="H23" s="95"/>
    </row>
    <row r="24" spans="1:8" ht="45" customHeight="1" x14ac:dyDescent="0.35">
      <c r="A24" s="93"/>
      <c r="B24" s="93"/>
      <c r="C24" s="94"/>
      <c r="D24" s="94"/>
      <c r="E24" s="94"/>
      <c r="F24" s="94"/>
      <c r="G24" s="95"/>
      <c r="H24" s="95"/>
    </row>
    <row r="25" spans="1:8" ht="58.5" customHeight="1" x14ac:dyDescent="0.35">
      <c r="A25" s="93"/>
      <c r="B25" s="93"/>
      <c r="C25" s="94"/>
      <c r="D25" s="94"/>
      <c r="E25" s="94"/>
      <c r="F25" s="94"/>
      <c r="G25" s="95"/>
      <c r="H25" s="95"/>
    </row>
    <row r="26" spans="1:8" ht="95.25" customHeight="1" x14ac:dyDescent="0.35">
      <c r="A26" s="93"/>
      <c r="B26" s="93"/>
      <c r="C26" s="94"/>
      <c r="D26" s="94"/>
      <c r="E26" s="94"/>
      <c r="F26" s="94"/>
      <c r="G26" s="95"/>
      <c r="H26" s="95"/>
    </row>
    <row r="27" spans="1:8" ht="94.5" customHeight="1" x14ac:dyDescent="0.35">
      <c r="A27" s="93"/>
      <c r="B27" s="93"/>
      <c r="C27" s="94"/>
      <c r="D27" s="94"/>
      <c r="E27" s="94"/>
      <c r="F27" s="94"/>
      <c r="G27" s="95"/>
      <c r="H27" s="95"/>
    </row>
    <row r="28" spans="1:8" ht="42" customHeight="1" x14ac:dyDescent="0.35">
      <c r="A28" s="93"/>
      <c r="B28" s="93"/>
      <c r="C28" s="94"/>
      <c r="D28" s="94"/>
      <c r="E28" s="94"/>
      <c r="F28" s="94"/>
      <c r="G28" s="95"/>
      <c r="H28" s="95"/>
    </row>
    <row r="29" spans="1:8" ht="30" customHeight="1" x14ac:dyDescent="0.35">
      <c r="A29" s="93"/>
      <c r="B29" s="98"/>
      <c r="C29" s="98"/>
      <c r="D29" s="98"/>
      <c r="E29" s="98"/>
      <c r="F29" s="98"/>
      <c r="G29" s="99"/>
      <c r="H29" s="99"/>
    </row>
    <row r="30" spans="1:8" ht="13.5" customHeight="1" x14ac:dyDescent="0.35">
      <c r="A30" s="73"/>
    </row>
    <row r="31" spans="1:8" ht="14.25" customHeight="1" x14ac:dyDescent="0.35">
      <c r="A31" s="74"/>
      <c r="B31" s="74"/>
      <c r="C31" s="74"/>
      <c r="D31" s="74"/>
      <c r="E31" s="74"/>
      <c r="F31" s="74"/>
      <c r="G31" s="75"/>
      <c r="H31" s="75"/>
    </row>
    <row r="32" spans="1:8" ht="14.25" customHeight="1" x14ac:dyDescent="0.35">
      <c r="A32" s="76"/>
      <c r="B32" s="77"/>
      <c r="C32" s="77"/>
      <c r="D32" s="77"/>
      <c r="E32" s="77"/>
      <c r="F32" s="77"/>
      <c r="G32" s="78"/>
      <c r="H32" s="78"/>
    </row>
    <row r="33" spans="1:8" ht="14.25" customHeight="1" x14ac:dyDescent="0.35">
      <c r="A33" s="77"/>
      <c r="B33" s="77"/>
      <c r="C33" s="77"/>
      <c r="D33" s="77"/>
      <c r="E33" s="77"/>
      <c r="F33" s="77"/>
      <c r="G33" s="78"/>
      <c r="H33" s="78"/>
    </row>
  </sheetData>
  <mergeCells count="4">
    <mergeCell ref="A1:H1"/>
    <mergeCell ref="A2:H2"/>
    <mergeCell ref="A3:H3"/>
    <mergeCell ref="A17:H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showGridLines="0" tabSelected="1" zoomScaleNormal="100" workbookViewId="0">
      <selection activeCell="A23" sqref="A23"/>
    </sheetView>
  </sheetViews>
  <sheetFormatPr defaultColWidth="8.6328125" defaultRowHeight="14.5" x14ac:dyDescent="0.35"/>
  <cols>
    <col min="1" max="1" width="36" customWidth="1"/>
    <col min="2" max="2" width="56.6328125" customWidth="1"/>
    <col min="3" max="3" width="22" customWidth="1"/>
    <col min="4" max="4" width="45" customWidth="1"/>
  </cols>
  <sheetData>
    <row r="1" spans="1:6" ht="27.75" customHeight="1" x14ac:dyDescent="0.35">
      <c r="A1" s="7" t="s">
        <v>96</v>
      </c>
      <c r="B1" s="7"/>
      <c r="C1" s="7"/>
      <c r="D1" s="7"/>
      <c r="E1" s="7"/>
      <c r="F1" s="7"/>
    </row>
    <row r="2" spans="1:6" ht="15.75" customHeight="1" x14ac:dyDescent="0.35">
      <c r="A2" s="6" t="s">
        <v>97</v>
      </c>
      <c r="B2" s="6"/>
      <c r="C2" s="6"/>
      <c r="D2" s="6"/>
      <c r="E2" s="6"/>
      <c r="F2" s="6"/>
    </row>
    <row r="3" spans="1:6" ht="19.5" customHeight="1" x14ac:dyDescent="0.35">
      <c r="A3" s="4" t="s">
        <v>98</v>
      </c>
      <c r="B3" s="4"/>
      <c r="C3" s="4"/>
      <c r="D3" s="4"/>
    </row>
    <row r="4" spans="1:6" ht="18" customHeight="1" x14ac:dyDescent="0.35">
      <c r="A4" s="79" t="s">
        <v>99</v>
      </c>
      <c r="B4" s="79" t="s">
        <v>100</v>
      </c>
      <c r="C4" s="79" t="s">
        <v>101</v>
      </c>
      <c r="D4" s="79" t="s">
        <v>48</v>
      </c>
    </row>
    <row r="5" spans="1:6" ht="18" customHeight="1" x14ac:dyDescent="0.35">
      <c r="A5" s="80" t="s">
        <v>102</v>
      </c>
      <c r="B5" s="81">
        <f>COUNTA('Reconciliation Report'!A5:A17)</f>
        <v>13</v>
      </c>
      <c r="C5" s="81">
        <f>COUNTA('Reconciliation Report'!A5:A17)</f>
        <v>13</v>
      </c>
      <c r="D5" s="82" t="s">
        <v>23</v>
      </c>
    </row>
    <row r="6" spans="1:6" ht="18" customHeight="1" x14ac:dyDescent="0.35">
      <c r="A6" s="80" t="s">
        <v>103</v>
      </c>
      <c r="B6" s="13">
        <f>'Reconciliation Report'!B18</f>
        <v>191656</v>
      </c>
      <c r="C6" s="13">
        <f>'Reconciliation Report'!C18</f>
        <v>211764</v>
      </c>
      <c r="D6" s="83">
        <f t="shared" ref="D6:D11" si="0">C6-B6</f>
        <v>20108</v>
      </c>
    </row>
    <row r="7" spans="1:6" ht="18" customHeight="1" x14ac:dyDescent="0.35">
      <c r="A7" s="80" t="s">
        <v>104</v>
      </c>
      <c r="B7" s="84">
        <f>'Reconciliation Report'!J18</f>
        <v>726917592.3599999</v>
      </c>
      <c r="C7" s="84">
        <f>'Reconciliation Report'!K18</f>
        <v>833970165.24000001</v>
      </c>
      <c r="D7" s="82">
        <f t="shared" si="0"/>
        <v>107052572.88000011</v>
      </c>
    </row>
    <row r="8" spans="1:6" ht="18" customHeight="1" x14ac:dyDescent="0.35">
      <c r="A8" s="80" t="s">
        <v>105</v>
      </c>
      <c r="B8" s="81">
        <f>B5</f>
        <v>13</v>
      </c>
      <c r="C8" s="81">
        <f>COUNTIFS('Reconciliation Report'!E5:E17,"&lt;=0.063",'Reconciliation Report'!E5:E17,"&gt;=-0.063",'Reconciliation Report'!I5:I17,"&lt;=0.089",'Reconciliation Report'!I5:I17,"&gt;=-0.089")</f>
        <v>3</v>
      </c>
      <c r="D8" s="82">
        <f t="shared" si="0"/>
        <v>-10</v>
      </c>
    </row>
    <row r="9" spans="1:6" ht="18" customHeight="1" x14ac:dyDescent="0.35">
      <c r="A9" s="80" t="s">
        <v>106</v>
      </c>
      <c r="B9" s="81">
        <v>0</v>
      </c>
      <c r="C9" s="81">
        <f>C5-C8</f>
        <v>10</v>
      </c>
      <c r="D9" s="82">
        <f t="shared" si="0"/>
        <v>10</v>
      </c>
    </row>
    <row r="10" spans="1:6" ht="18" customHeight="1" x14ac:dyDescent="0.35">
      <c r="A10" s="80" t="s">
        <v>107</v>
      </c>
      <c r="B10" s="81">
        <v>0</v>
      </c>
      <c r="C10" s="81">
        <f>SUMPRODUCT((ABS('Reconciliation Report'!E5:E17)&gt;0.095)+(ABS('Reconciliation Report'!I5:I17)&gt;0.134)&gt;0)</f>
        <v>0</v>
      </c>
      <c r="D10" s="104">
        <f t="shared" si="0"/>
        <v>0</v>
      </c>
    </row>
    <row r="11" spans="1:6" ht="18" customHeight="1" x14ac:dyDescent="0.35">
      <c r="A11" s="80" t="s">
        <v>108</v>
      </c>
      <c r="B11" s="81">
        <v>0</v>
      </c>
      <c r="C11" s="81">
        <f>COUNTIF('Findings &amp; Resolution Log'!H5:H15,"RESOLVED*")</f>
        <v>0</v>
      </c>
      <c r="D11" s="104">
        <f t="shared" si="0"/>
        <v>0</v>
      </c>
    </row>
    <row r="13" spans="1:6" ht="19.5" customHeight="1" x14ac:dyDescent="0.35">
      <c r="A13" s="3" t="s">
        <v>109</v>
      </c>
      <c r="B13" s="3"/>
      <c r="C13" s="3"/>
      <c r="D13" s="3"/>
    </row>
    <row r="14" spans="1:6" ht="30" customHeight="1" x14ac:dyDescent="0.35">
      <c r="A14" s="85" t="s">
        <v>12</v>
      </c>
      <c r="B14" s="86" t="s">
        <v>110</v>
      </c>
      <c r="C14" s="2" t="s">
        <v>111</v>
      </c>
      <c r="D14" s="2"/>
    </row>
    <row r="15" spans="1:6" ht="30" customHeight="1" x14ac:dyDescent="0.35">
      <c r="A15" s="85" t="s">
        <v>17</v>
      </c>
      <c r="B15" s="86" t="s">
        <v>112</v>
      </c>
      <c r="C15" s="2" t="s">
        <v>113</v>
      </c>
      <c r="D15" s="2"/>
    </row>
    <row r="16" spans="1:6" ht="14.25" customHeight="1" x14ac:dyDescent="0.35">
      <c r="A16" s="87" t="s">
        <v>13</v>
      </c>
      <c r="B16" s="88" t="s">
        <v>114</v>
      </c>
      <c r="C16" s="89" t="s">
        <v>111</v>
      </c>
      <c r="D16" s="103"/>
    </row>
    <row r="17" spans="1:4" ht="49.5" customHeight="1" x14ac:dyDescent="0.35">
      <c r="A17" s="1" t="s">
        <v>115</v>
      </c>
      <c r="B17" s="1"/>
      <c r="C17" s="1"/>
      <c r="D17" s="1"/>
    </row>
    <row r="18" spans="1:4" ht="127.5" customHeight="1" x14ac:dyDescent="0.35">
      <c r="A18" s="105" t="s">
        <v>116</v>
      </c>
      <c r="B18" s="105"/>
      <c r="C18" s="105"/>
      <c r="D18" s="105"/>
    </row>
  </sheetData>
  <mergeCells count="8">
    <mergeCell ref="C15:D15"/>
    <mergeCell ref="A17:D17"/>
    <mergeCell ref="A18:D18"/>
    <mergeCell ref="A1:F1"/>
    <mergeCell ref="A2:F2"/>
    <mergeCell ref="A3:D3"/>
    <mergeCell ref="A13:D13"/>
    <mergeCell ref="C14:D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SFY2022 Budget Reference</vt:lpstr>
      <vt:lpstr>Reconciliation Report</vt:lpstr>
      <vt:lpstr>Findings &amp; Resolution Log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graham pinti</cp:lastModifiedBy>
  <cp:revision>0</cp:revision>
  <dcterms:created xsi:type="dcterms:W3CDTF">2026-04-03T04:01:33Z</dcterms:created>
  <dcterms:modified xsi:type="dcterms:W3CDTF">2026-06-29T17:00:08Z</dcterms:modified>
  <dc:language>en-US</dc:language>
</cp:coreProperties>
</file>