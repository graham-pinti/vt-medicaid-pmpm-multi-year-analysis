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Medicaid project SQL reconstruction\Vermont_Medicaid_Recalibrated_Package\final_package\SFY2025\"/>
    </mc:Choice>
  </mc:AlternateContent>
  <xr:revisionPtr revIDLastSave="0" documentId="13_ncr:1_{8D143A4C-04AB-4B8C-9037-3DC3B668AE38}" xr6:coauthVersionLast="47" xr6:coauthVersionMax="47" xr10:uidLastSave="{00000000-0000-0000-0000-000000000000}"/>
  <bookViews>
    <workbookView xWindow="-110" yWindow="-110" windowWidth="38620" windowHeight="21100" tabRatio="500" activeTab="3" xr2:uid="{00000000-000D-0000-FFFF-FFFF00000000}"/>
  </bookViews>
  <sheets>
    <sheet name="SFY2025 Budget Reference" sheetId="1" r:id="rId1"/>
    <sheet name="Reconciliation Report" sheetId="2" r:id="rId2"/>
    <sheet name="Findings &amp; Resolution Log" sheetId="3" r:id="rId3"/>
    <sheet name="Summary Dashboard"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1" i="4" l="1"/>
  <c r="D11" i="4" s="1"/>
  <c r="C5" i="4"/>
  <c r="B5" i="4"/>
  <c r="B8" i="4" s="1"/>
  <c r="D17" i="2"/>
  <c r="C17" i="2"/>
  <c r="C6" i="4" s="1"/>
  <c r="B17" i="2"/>
  <c r="B6" i="4" s="1"/>
  <c r="K16" i="2"/>
  <c r="L16" i="2" s="1"/>
  <c r="J16" i="2"/>
  <c r="H16" i="2"/>
  <c r="I16" i="2" s="1"/>
  <c r="D16" i="2"/>
  <c r="E16" i="2" s="1"/>
  <c r="L15" i="2"/>
  <c r="K15" i="2"/>
  <c r="J15" i="2"/>
  <c r="H15" i="2"/>
  <c r="I15" i="2" s="1"/>
  <c r="D15" i="2"/>
  <c r="E15" i="2" s="1"/>
  <c r="L14" i="2"/>
  <c r="K14" i="2"/>
  <c r="J14" i="2"/>
  <c r="H14" i="2"/>
  <c r="I14" i="2" s="1"/>
  <c r="D14" i="2"/>
  <c r="E14" i="2" s="1"/>
  <c r="K13" i="2"/>
  <c r="L13" i="2" s="1"/>
  <c r="J13" i="2"/>
  <c r="H13" i="2"/>
  <c r="I13" i="2" s="1"/>
  <c r="D13" i="2"/>
  <c r="E13" i="2" s="1"/>
  <c r="K12" i="2"/>
  <c r="L12" i="2" s="1"/>
  <c r="J12" i="2"/>
  <c r="H12" i="2"/>
  <c r="I12" i="2" s="1"/>
  <c r="D12" i="2"/>
  <c r="E12" i="2" s="1"/>
  <c r="K11" i="2"/>
  <c r="L11" i="2" s="1"/>
  <c r="J11" i="2"/>
  <c r="I11" i="2"/>
  <c r="H11" i="2"/>
  <c r="E11" i="2"/>
  <c r="D11" i="2"/>
  <c r="K10" i="2"/>
  <c r="L10" i="2" s="1"/>
  <c r="J10" i="2"/>
  <c r="H10" i="2"/>
  <c r="I10" i="2" s="1"/>
  <c r="D10" i="2"/>
  <c r="E10" i="2" s="1"/>
  <c r="K9" i="2"/>
  <c r="L9" i="2" s="1"/>
  <c r="J9" i="2"/>
  <c r="H9" i="2"/>
  <c r="I9" i="2" s="1"/>
  <c r="D9" i="2"/>
  <c r="E9" i="2" s="1"/>
  <c r="L8" i="2"/>
  <c r="K8" i="2"/>
  <c r="J8" i="2"/>
  <c r="H8" i="2"/>
  <c r="I8" i="2" s="1"/>
  <c r="D8" i="2"/>
  <c r="E8" i="2" s="1"/>
  <c r="K7" i="2"/>
  <c r="L7" i="2" s="1"/>
  <c r="J7" i="2"/>
  <c r="I7" i="2"/>
  <c r="H7" i="2"/>
  <c r="D7" i="2"/>
  <c r="E7" i="2" s="1"/>
  <c r="L6" i="2"/>
  <c r="K6" i="2"/>
  <c r="K17" i="2" s="1"/>
  <c r="C7" i="4" s="1"/>
  <c r="D7" i="4" s="1"/>
  <c r="J6" i="2"/>
  <c r="J17" i="2" s="1"/>
  <c r="B7" i="4" s="1"/>
  <c r="H6" i="2"/>
  <c r="I6" i="2" s="1"/>
  <c r="D6" i="2"/>
  <c r="E6" i="2" s="1"/>
  <c r="K5" i="2"/>
  <c r="L5" i="2" s="1"/>
  <c r="J5" i="2"/>
  <c r="H5" i="2"/>
  <c r="I5" i="2" s="1"/>
  <c r="D5" i="2"/>
  <c r="E5" i="2" s="1"/>
  <c r="C17" i="1"/>
  <c r="B17" i="1"/>
  <c r="F16" i="1"/>
  <c r="E16" i="1"/>
  <c r="F15" i="1"/>
  <c r="E15" i="1"/>
  <c r="F14" i="1"/>
  <c r="E14" i="1"/>
  <c r="F13" i="1"/>
  <c r="E13" i="1"/>
  <c r="F12" i="1"/>
  <c r="E12" i="1"/>
  <c r="F11" i="1"/>
  <c r="E11" i="1"/>
  <c r="F10" i="1"/>
  <c r="E10" i="1"/>
  <c r="F9" i="1"/>
  <c r="E9" i="1"/>
  <c r="E17" i="1" s="1"/>
  <c r="F8" i="1"/>
  <c r="F17" i="1" s="1"/>
  <c r="E8" i="1"/>
  <c r="F7" i="1"/>
  <c r="E7" i="1"/>
  <c r="F6" i="1"/>
  <c r="E6" i="1"/>
  <c r="F5" i="1"/>
  <c r="E5" i="1"/>
  <c r="C10" i="4" l="1"/>
  <c r="D10" i="4" s="1"/>
  <c r="C8" i="4"/>
  <c r="D8" i="4" s="1"/>
  <c r="L17" i="2"/>
  <c r="D6" i="4"/>
  <c r="C9" i="4" l="1"/>
  <c r="D9" i="4" s="1"/>
</calcChain>
</file>

<file path=xl/sharedStrings.xml><?xml version="1.0" encoding="utf-8"?>
<sst xmlns="http://schemas.openxmlformats.org/spreadsheetml/2006/main" count="221" uniqueCount="147">
  <si>
    <t xml:space="preserve">  Vermont Medicaid SFY2025 — Budgeted PMPM Reference Data</t>
  </si>
  <si>
    <t xml:space="preserve">  Source: DVHA Budget Book SFY2026 (As Passed budget, retroactively reported) | Prepared by: Graham Pinti</t>
  </si>
  <si>
    <t>NOTE: SFY2025 "As Passed" figures were not published as a standalone PMPM Legislative Report (that report series ended after SFY2022). These figures are sourced from the DVHA Annual Report and Budget Book SFY2026, which retroactively reports the prior year's As Passed budget alongside SFY2026 projections. All figures reflect DVHA-only scope. Choices for Care no longer exists as a standalone MEG as of the 1115 waiver change; its costs are now distributed across other eligibility groups. Dr. D Expansion (IHIP) is a new MEG that began July 1, 2022.</t>
  </si>
  <si>
    <t>Medicaid Eligibility Group (MEG)</t>
  </si>
  <si>
    <t>Avg Monthly
Enrollment</t>
  </si>
  <si>
    <t>Gross PMPM ($)</t>
  </si>
  <si>
    <t>Premium PMPM ($)</t>
  </si>
  <si>
    <t>Net PMPM ($)</t>
  </si>
  <si>
    <t>Annual Budget Est. ($)</t>
  </si>
  <si>
    <t>ABD Adult</t>
  </si>
  <si>
    <t>Dual Eligible</t>
  </si>
  <si>
    <t>General Adult</t>
  </si>
  <si>
    <t>New Adult Childless</t>
  </si>
  <si>
    <t>New Adult w/Child</t>
  </si>
  <si>
    <t>BD Child</t>
  </si>
  <si>
    <t>General Child</t>
  </si>
  <si>
    <t>CHIP</t>
  </si>
  <si>
    <t>Dr. D Expansion (IHIP)</t>
  </si>
  <si>
    <t>Pharmacy Only</t>
  </si>
  <si>
    <t>Vermont Premium Assist.</t>
  </si>
  <si>
    <t>Vermont Cost Sharing</t>
  </si>
  <si>
    <t>TOTAL / WEIGHTED AVG</t>
  </si>
  <si>
    <t>—</t>
  </si>
  <si>
    <t>Note: Enrollment and Annual Budget are totals (summed). PMPM figures are enrollment-weighted averages, not simple averages.</t>
  </si>
  <si>
    <t xml:space="preserve">  Vermont Medicaid SFY2025 — Budget vs. Actual PMPM Reconciliation (Recalibrated Thresholds)</t>
  </si>
  <si>
    <t xml:space="preserve">  Prepared by: Graham Pinti | Recalibrated Threshold: Monitor &gt;6.3% enroll/8.9% PMPM, Escalate &gt;9.5%/13.4% (1/1.5 historical stdev)</t>
  </si>
  <si>
    <t>RECONCILIATION PROCESS: Budgeted figures sourced from the DVHA Annual Report and Budget Book SFY2026 (SFY2025 "As Passed" column, DVHA-only scope). Actual figures sourced from the DVHA Medicaid Program Enrollment &amp; Expenditures Quarterly Report, Q4 SFY25 YTD (DVHA-only scope, period ending June 30, 2025). Thresholds matched to the recalibrated SFY2022 methodology for direct year-over-year comparability. Pharmacy Only shows an unusually large PMPM variance inconsistent with the Budget Book's own BAA/Gov. Rec. trendline for VPharm; the most likely explanation is a gross-vs-net (rebate-adjusted) reporting difference, though this could not be confirmed from public data. Choices for Care no longer exists as a standalone MEG as of the 1115 waiver change.</t>
  </si>
  <si>
    <t>MEG</t>
  </si>
  <si>
    <t>Budget
Enrollment</t>
  </si>
  <si>
    <t>Actual
Enrollment</t>
  </si>
  <si>
    <t>Enroll.
Variance</t>
  </si>
  <si>
    <t>Enroll.
Var %</t>
  </si>
  <si>
    <t>Budget
PMPM ($)</t>
  </si>
  <si>
    <t>Actual
PMPM ($)</t>
  </si>
  <si>
    <t>PMPM
Variance ($)</t>
  </si>
  <si>
    <t>PMPM
Var %</t>
  </si>
  <si>
    <t>Budget
Ann. Cost ($)</t>
  </si>
  <si>
    <t>Actual
Ann. Cost ($)</t>
  </si>
  <si>
    <t>Cost
Impact ($)</t>
  </si>
  <si>
    <t>TOTALS</t>
  </si>
  <si>
    <t xml:space="preserve">  Vermont Medicaid SFY2025 — Findings &amp; Resolution Log (Recalibrated Thresholds)</t>
  </si>
  <si>
    <t xml:space="preserve">  Analyst: Graham Pinti | Items requiring investigation and documented resolution</t>
  </si>
  <si>
    <t>18 findings recorded across all 12 of 12 MEGs in this analysis (one row per flagged metric). Using the same recalibrated thresholds applied to SFY2022 (6.3%/9.5% enrollment, 8.9%/13.4% PMPM, derived from historical SFY2020-2024 volatility), every single MEG still flags on at least one metric, unlike SFY2022 where 3 MEGs were fully within normal range. This holds up the central comparative finding: SFY2025's cost-intensity miss is broadly abnormal even under a fair, statistically grounded bar, while SFY2022's apparent crisis was substantially an artifact of an uncalibrated threshold.</t>
  </si>
  <si>
    <t>Variance Type</t>
  </si>
  <si>
    <t>Budget Figure</t>
  </si>
  <si>
    <t>Actual Figure</t>
  </si>
  <si>
    <t>Variance</t>
  </si>
  <si>
    <t>Variance %</t>
  </si>
  <si>
    <t>Finding &amp; Root Cause</t>
  </si>
  <si>
    <t>Resolution &amp; Status</t>
  </si>
  <si>
    <t>Enrollment</t>
  </si>
  <si>
    <t>(603)</t>
  </si>
  <si>
    <t>(7.53%)</t>
  </si>
  <si>
    <t>Enrollment came in 7.53% below budget, consistent with the post-unwinding redetermination cycle removing members who no longer qualified once continuous enrollment protections ended.</t>
  </si>
  <si>
    <t>MONITOR — Enrollment variance under recalibrated threshold (1 stdev = 6.3%, 1.5 stdev = 9.5%). GP 6/29/26</t>
  </si>
  <si>
    <t>PMPM Cost</t>
  </si>
  <si>
    <t>$846.95</t>
  </si>
  <si>
    <t>$1171.49</t>
  </si>
  <si>
    <t>+$324.54</t>
  </si>
  <si>
    <t>+38.32%</t>
  </si>
  <si>
    <t>PMPM exceeded budget by 38.32%, the largest PMPM variance among the major adult categories. Consistent with DVHA's own documented finding that the population retained after redeterminations ('stayers') skewed costlier on average. Additionally, Vermont's Global Commitment Register shows a documented SFY2025 rate increase for DAIL (Department of Disabilities, Aging, and Independent Living) services, which directly affects this aged/blind/disabled population. Because this rate increase raises payment per service while the retained population is also using more services per person, the two effects compound rather than offset, both push PMPM in the same direction at once. The rate increase's comment period closed in mid-2025, after the As Passed budget was already locked, making this a genuinely unbudgeted addition, not a forecasting oversight.</t>
  </si>
  <si>
    <t>ESCALATE — PMPM variance under recalibrated threshold (1 stdev = 8.9%, 1.5 stdev = 13.4%). GP 6/29/26</t>
  </si>
  <si>
    <t>(2649)</t>
  </si>
  <si>
    <t>(17.66%)</t>
  </si>
  <si>
    <t>Enrollment came in 17.66% below budget, the largest percentage shortfall among the larger adult categories, consistent with the post-unwinding redetermination cycle removing parents/caretakers whose circumstances changed during the PHE.</t>
  </si>
  <si>
    <t>ESCALATE — Enrollment variance under recalibrated threshold (1 stdev = 6.3%, 1.5 stdev = 9.5%). GP 6/29/26</t>
  </si>
  <si>
    <t>$415.86</t>
  </si>
  <si>
    <t>$568.79</t>
  </si>
  <si>
    <t>+$152.93</t>
  </si>
  <si>
    <t>+36.77%</t>
  </si>
  <si>
    <t>PMPM exceeded budget by 36.77%, consistent with a costlier retained population following redeterminations.</t>
  </si>
  <si>
    <t>(2583)</t>
  </si>
  <si>
    <t>(6.80%)</t>
  </si>
  <si>
    <t>Enrollment came in 6.80% below budget. This category drove the largest single dollar overrun in SFY2022 due to PHE continuous enrollment; the SFY2025 contraction reflects the same population normalizing post-unwinding.</t>
  </si>
  <si>
    <t>$491.19</t>
  </si>
  <si>
    <t>$584.85</t>
  </si>
  <si>
    <t>+$93.66</t>
  </si>
  <si>
    <t>+19.07%</t>
  </si>
  <si>
    <t>PMPM exceeded budget by 19.07%, consistent with the statewide 'stayer' cost pattern.</t>
  </si>
  <si>
    <t>+7.11%</t>
  </si>
  <si>
    <t>Enrollment exceeded budget by 7.11%, one of the few categories to grow. High-acuity disabled children are less likely to lose eligibility during redetermination since disability status is independently verified, not income-dependent.</t>
  </si>
  <si>
    <t>$1129.82</t>
  </si>
  <si>
    <t>$1326.10</t>
  </si>
  <si>
    <t>+$196.28</t>
  </si>
  <si>
    <t>+17.37%</t>
  </si>
  <si>
    <t>PMPM exceeded budget by 17.37%, consistent with rising costs for high-acuity pediatric care.</t>
  </si>
  <si>
    <t>+19.68%</t>
  </si>
  <si>
    <t>Enrollment exceeded budget by 19.68%. CHIP eligibility sits at a higher income band than core Medicaid; families who lost core Medicaid eligibility during redetermination may have shifted into CHIP rather than losing coverage entirely.</t>
  </si>
  <si>
    <t>$184.55</t>
  </si>
  <si>
    <t>$227.18</t>
  </si>
  <si>
    <t>+$42.63</t>
  </si>
  <si>
    <t>+23.10%</t>
  </si>
  <si>
    <t>PMPM exceeded budget by 23.10%, consistent with broader pediatric cost growth.</t>
  </si>
  <si>
    <t>+64.68%</t>
  </si>
  <si>
    <t>Enrollment exceeded budget by 64.68%, the largest percentage variance in the portfolio. IHIP is a new, small, state-funded program (began July 2022) with no federal eligibility verification system; budget projections for a program with this little operating history carry wide uncertainty.</t>
  </si>
  <si>
    <t>$400.00</t>
  </si>
  <si>
    <t>$463.83</t>
  </si>
  <si>
    <t>+$63.83</t>
  </si>
  <si>
    <t>+15.96%</t>
  </si>
  <si>
    <t>PMPM exceeded budget by 15.96%, broadly consistent with the same cost-intensity pattern as the rest of the portfolio.</t>
  </si>
  <si>
    <t>$366.71</t>
  </si>
  <si>
    <t>$440.44</t>
  </si>
  <si>
    <t>+$73.73</t>
  </si>
  <si>
    <t>+20.11%</t>
  </si>
  <si>
    <t>PMPM exceeded budget by 20.11%, consistent with the broader 'stayer' cost-intensity pattern seen across nearly every category this fiscal year. Enrollment variance (-1.74%) stayed within the recalibrated monitor range.</t>
  </si>
  <si>
    <t>$450.49</t>
  </si>
  <si>
    <t>$522.94</t>
  </si>
  <si>
    <t>+$72.45</t>
  </si>
  <si>
    <t>+16.08%</t>
  </si>
  <si>
    <t>PMPM exceeded budget by 16.08%, consistent with the broader cost-intensity trend. Enrollment variance (-5.12%) stayed within the recalibrated normal range.</t>
  </si>
  <si>
    <t>$285.39</t>
  </si>
  <si>
    <t>$329.20</t>
  </si>
  <si>
    <t>+$43.81</t>
  </si>
  <si>
    <t>+15.35%</t>
  </si>
  <si>
    <t>PMPM exceeded budget by 15.35%, consistent with the statewide cost-intensity trend. Enrollment variance (-5.62%) stayed within the recalibrated normal range.</t>
  </si>
  <si>
    <t>$66.85</t>
  </si>
  <si>
    <t>$158.76</t>
  </si>
  <si>
    <t>+$91.91</t>
  </si>
  <si>
    <t>+137.49%</t>
  </si>
  <si>
    <t>PMPM exceeded budget by 137.49%, an order of magnitude larger than any other variance in this analysis and inconsistent with the Budget Book's own BAA/Gov. Rec. trendline for VPharm. The most likely explanation is a gross-vs-net (rebate-adjusted) reporting difference between the two source documents; this could not be confirmed from public data alone. Enrollment variance (-5.69%) stayed within the recalibrated normal range.</t>
  </si>
  <si>
    <t>(1166)</t>
  </si>
  <si>
    <t>(8.23%)</t>
  </si>
  <si>
    <t>Enrollment came in 8.23% below budget, consistent with marketplace enrollment volatility in this QHP-linked population, which is separate from core Medicaid continuous enrollment protections. PMPM variance (+8.67%) stayed within the recalibrated normal range.</t>
  </si>
  <si>
    <t>(2820)</t>
  </si>
  <si>
    <t>(56.46%)</t>
  </si>
  <si>
    <t>Enrollment came in 56.46% below budget, the single largest percentage swing in the analysis. This small QHP-linked population appears to have contracted sharply, consistent with marketplace dynamics affecting the related Premium Assistance category. PMPM variance (-1.32%) was favorable and within the recalibrated normal range.</t>
  </si>
  <si>
    <t>LEGEND: Red = Unfavorable variance. Green = Favorable variance. Bold rows = the 3 largest cost impacts in the portfolio. All 12 MEGs flag on at least one metric, even under the recalibrated, statistically grounded threshold.</t>
  </si>
  <si>
    <t xml:space="preserve">  Vermont Medicaid SFY2025 — Reconciliation Summary Dashboard (Recalibrated Thresholds)</t>
  </si>
  <si>
    <t xml:space="preserve">   Thresholds: 6.3%/9.5% enrollment, 8.9%/13.4% PMPM (1/1.5 historical stdev) — matched to SFY2022 methodology</t>
  </si>
  <si>
    <t>RECONCILIATION SUMMARY — SFY2025 (Real Actuals)</t>
  </si>
  <si>
    <t>Metric</t>
  </si>
  <si>
    <t>Budget</t>
  </si>
  <si>
    <t>Actual</t>
  </si>
  <si>
    <t>Total MEGs Reviewed</t>
  </si>
  <si>
    <t>Total Enrolled Members (Avg Monthly)</t>
  </si>
  <si>
    <t>Total Annual Budget Estimate ($)</t>
  </si>
  <si>
    <t>MEGs with No Variance</t>
  </si>
  <si>
    <t>MEGs Flagged for Review</t>
  </si>
  <si>
    <t>MEGs Escalated (&gt;Threshold)</t>
  </si>
  <si>
    <t>MEGs Resolved</t>
  </si>
  <si>
    <t>TOP ESCALATED ITEMS BY COST IMPACT</t>
  </si>
  <si>
    <t>Enrollment -6.80%, PMPM +19.07% — $24,579,122 over budget</t>
  </si>
  <si>
    <t>Flag under recalibrated threshold: ESCALATE — see Findings Log</t>
  </si>
  <si>
    <t>Enrollment -7.53%, PMPM +38.32% — $22,698,067 over budget</t>
  </si>
  <si>
    <t>Enrollment -5.62%, PMPM +15.35% — $17,755,825 over budget</t>
  </si>
  <si>
    <t>DATA SOURCE: Budget — DVHA Annual Report and Budget Book SFY2026 (SFY2025 As Passed, retroactively reported). Actuals — DVHA Medicaid Program Enrollment &amp; Expenditures Quarterly Report, Q4 SFY25 YTD, DVHA-only scope. Thresholds recalibrated from historical SFY2020-2024 year-over-year volatility, matched to SFY2022 methodology. Analysis prepared by Graham Pinti for portfolio demonstration.</t>
  </si>
  <si>
    <t>COST DRIVER ANALYSIS: SFY2025’s PMPM growth reflects at least three real, distinguishable mechanisms, not a single cause. (1) Population composition shift: DVHA’s own analysis found the population retained after post-PHE redeterminations skewed costlier on average. (2) Legislated provider rate increases: Vermont’s Global Commitment Register documents specific SFY2025 rate increases for DAIL disability services, mobile crisis services, and Department of Mental Health fee-for-service rates, several with comment periods closing mid-2025, after the As Passed budget was locked. Where enrollment also rose for the same population, the rate increase and utilization growth compound rather than offset. (3) General medical inflation: confirmed real but minor (2.5%-4.2% nationally during this period), insufficient alone to explain variances in the 15%-38% range. A fourth factor, newly covered benefits and services added during SFY2025, was identified but not quantified. These mechanisms could not be individually decomposed without category-level claims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</si>
</sst>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
    <numFmt numFmtId="165" formatCode="\$#,##0"/>
    <numFmt numFmtId="166" formatCode="#,##0;\(#,##0\);\-"/>
    <numFmt numFmtId="167" formatCode="0.00%;\(0.00%\);\-"/>
    <numFmt numFmtId="168" formatCode="\$#,##0.00;&quot;($&quot;#,##0.00\);\-"/>
    <numFmt numFmtId="169" formatCode="\$#,##0;&quot;($&quot;#,##0\);\-"/>
  </numFmts>
  <fonts count="32" x14ac:knownFonts="1">
    <font>
      <sz val="11"/>
      <color theme="1"/>
      <name val="Calibri"/>
      <family val="2"/>
      <charset val="1"/>
    </font>
    <font>
      <sz val="11"/>
      <color theme="1"/>
      <name val="Calibri"/>
      <family val="2"/>
      <scheme val="minor"/>
    </font>
    <font>
      <b/>
      <sz val="13"/>
      <color rgb="FFFFFFFF"/>
      <name val="Arial"/>
      <charset val="1"/>
    </font>
    <font>
      <i/>
      <sz val="9"/>
      <color rgb="FF1F4E79"/>
      <name val="Arial"/>
      <charset val="1"/>
    </font>
    <font>
      <b/>
      <sz val="10"/>
      <color rgb="FFFFFFFF"/>
      <name val="Arial"/>
      <charset val="1"/>
    </font>
    <font>
      <sz val="10"/>
      <color rgb="FF000000"/>
      <name val="Arial"/>
      <charset val="1"/>
    </font>
    <font>
      <sz val="10"/>
      <color rgb="FF808080"/>
      <name val="Arial"/>
      <charset val="1"/>
    </font>
    <font>
      <sz val="10"/>
      <name val="Arial"/>
      <charset val="1"/>
    </font>
    <font>
      <sz val="9.5"/>
      <color theme="1"/>
      <name val="Calibri"/>
      <family val="2"/>
      <charset val="1"/>
    </font>
    <font>
      <sz val="10"/>
      <name val="Arial"/>
      <family val="2"/>
      <charset val="1"/>
    </font>
    <font>
      <b/>
      <sz val="10"/>
      <name val="Arial"/>
      <family val="2"/>
      <charset val="1"/>
    </font>
    <font>
      <b/>
      <sz val="10"/>
      <color rgb="FF000000"/>
      <name val="Arial"/>
      <family val="2"/>
      <charset val="1"/>
    </font>
    <font>
      <b/>
      <sz val="13"/>
      <color rgb="FFFFFFFF"/>
      <name val="Arial"/>
      <family val="2"/>
      <charset val="1"/>
    </font>
    <font>
      <i/>
      <sz val="10"/>
      <color rgb="FF1F4E79"/>
      <name val="Arial"/>
      <family val="2"/>
      <charset val="1"/>
    </font>
    <font>
      <i/>
      <sz val="11"/>
      <color rgb="FFC00000"/>
      <name val="Arial"/>
      <family val="2"/>
      <charset val="1"/>
    </font>
    <font>
      <sz val="11"/>
      <color theme="0"/>
      <name val="Calibri"/>
      <family val="2"/>
      <charset val="1"/>
    </font>
    <font>
      <b/>
      <sz val="11"/>
      <color rgb="FF000000"/>
      <name val="Arial"/>
      <family val="2"/>
      <charset val="1"/>
    </font>
    <font>
      <b/>
      <sz val="11"/>
      <name val="Arial"/>
      <family val="2"/>
      <charset val="1"/>
    </font>
    <font>
      <sz val="11"/>
      <color rgb="FF000000"/>
      <name val="Arial"/>
      <family val="2"/>
      <charset val="1"/>
    </font>
    <font>
      <sz val="11"/>
      <name val="Arial"/>
      <family val="2"/>
      <charset val="1"/>
    </font>
    <font>
      <sz val="11"/>
      <color theme="1"/>
      <name val="Arial"/>
      <family val="2"/>
      <charset val="1"/>
    </font>
    <font>
      <b/>
      <sz val="11"/>
      <color theme="1"/>
      <name val="Arial"/>
      <family val="2"/>
      <charset val="1"/>
    </font>
    <font>
      <sz val="10.4"/>
      <color theme="1"/>
      <name val="Arial"/>
      <family val="2"/>
      <charset val="1"/>
    </font>
    <font>
      <sz val="10"/>
      <color theme="1"/>
      <name val="Arial"/>
      <family val="2"/>
      <charset val="1"/>
    </font>
    <font>
      <b/>
      <sz val="11"/>
      <color rgb="FFFFFFFF"/>
      <name val="Arial"/>
      <charset val="1"/>
    </font>
    <font>
      <b/>
      <sz val="10"/>
      <color rgb="FF1F4E79"/>
      <name val="Arial"/>
      <charset val="1"/>
    </font>
    <font>
      <b/>
      <sz val="10"/>
      <color rgb="FF000000"/>
      <name val="Arial"/>
      <charset val="1"/>
    </font>
    <font>
      <sz val="10"/>
      <color rgb="FFC00000"/>
      <name val="Arial"/>
      <charset val="1"/>
    </font>
    <font>
      <b/>
      <sz val="11"/>
      <color theme="1"/>
      <name val="Calibri"/>
      <family val="2"/>
      <charset val="1"/>
    </font>
    <font>
      <sz val="11"/>
      <color rgb="FFC00000"/>
      <name val="Calibri"/>
      <family val="2"/>
      <charset val="1"/>
    </font>
    <font>
      <i/>
      <sz val="8"/>
      <color rgb="FF595959"/>
      <name val="Arial"/>
      <charset val="1"/>
    </font>
    <font>
      <sz val="10"/>
      <name val="Arial"/>
      <family val="2"/>
    </font>
  </fonts>
  <fills count="15">
    <fill>
      <patternFill patternType="none"/>
    </fill>
    <fill>
      <patternFill patternType="gray125"/>
    </fill>
    <fill>
      <patternFill patternType="solid">
        <fgColor rgb="FF1F4E79"/>
        <bgColor rgb="FF003366"/>
      </patternFill>
    </fill>
    <fill>
      <patternFill patternType="solid">
        <fgColor rgb="FFD6E4F0"/>
        <bgColor rgb="FFD9D9D9"/>
      </patternFill>
    </fill>
    <fill>
      <patternFill patternType="solid">
        <fgColor rgb="FFF2F2F2"/>
        <bgColor rgb="FFFDEADA"/>
      </patternFill>
    </fill>
    <fill>
      <patternFill patternType="solid">
        <fgColor theme="0"/>
        <bgColor rgb="FFF2F2F2"/>
      </patternFill>
    </fill>
    <fill>
      <patternFill patternType="solid">
        <fgColor rgb="FFFCE4D6"/>
        <bgColor rgb="FFFCE4E4"/>
      </patternFill>
    </fill>
    <fill>
      <patternFill patternType="solid">
        <fgColor theme="4"/>
        <bgColor rgb="FF2E75B6"/>
      </patternFill>
    </fill>
    <fill>
      <patternFill patternType="solid">
        <fgColor rgb="FFE2F0D9"/>
        <bgColor rgb="FFF2F2F2"/>
      </patternFill>
    </fill>
    <fill>
      <patternFill patternType="solid">
        <fgColor rgb="FFFCE4E4"/>
        <bgColor rgb="FFFCE4D6"/>
      </patternFill>
    </fill>
    <fill>
      <patternFill patternType="solid">
        <fgColor rgb="FF2E75B6"/>
        <bgColor rgb="FF4F81BD"/>
      </patternFill>
    </fill>
    <fill>
      <patternFill patternType="solid">
        <fgColor rgb="FFBDD7EE"/>
        <bgColor rgb="FFD9D9D9"/>
      </patternFill>
    </fill>
    <fill>
      <patternFill patternType="solid">
        <fgColor rgb="FFC00000"/>
        <bgColor rgb="FF800000"/>
      </patternFill>
    </fill>
    <fill>
      <patternFill patternType="solid">
        <fgColor theme="9" tint="0.79989013336588644"/>
        <bgColor rgb="FFFCE4D6"/>
      </patternFill>
    </fill>
    <fill>
      <patternFill patternType="solid">
        <fgColor theme="9" tint="0.79998168889431442"/>
        <bgColor indexed="65"/>
      </patternFill>
    </fill>
  </fills>
  <borders count="10">
    <border>
      <left/>
      <right/>
      <top/>
      <bottom/>
      <diagonal/>
    </border>
    <border>
      <left style="thin">
        <color rgb="FF2E75B6"/>
      </left>
      <right style="thin">
        <color rgb="FF2E75B6"/>
      </right>
      <top style="thin">
        <color rgb="FF2E75B6"/>
      </top>
      <bottom style="thin">
        <color rgb="FF2E75B6"/>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indexed="64"/>
      </top>
      <bottom/>
      <diagonal/>
    </border>
    <border>
      <left style="thin">
        <color rgb="FFD9D9D9"/>
      </left>
      <right style="thin">
        <color rgb="FFD9D9D9"/>
      </right>
      <top style="thin">
        <color rgb="FFD9D9D9"/>
      </top>
      <bottom/>
      <diagonal/>
    </border>
    <border>
      <left style="medium">
        <color theme="3"/>
      </left>
      <right style="thin">
        <color theme="3"/>
      </right>
      <top style="medium">
        <color theme="3"/>
      </top>
      <bottom style="medium">
        <color theme="3"/>
      </bottom>
      <diagonal/>
    </border>
    <border>
      <left style="thin">
        <color theme="3"/>
      </left>
      <right style="thin">
        <color theme="3"/>
      </right>
      <top style="medium">
        <color theme="3"/>
      </top>
      <bottom style="medium">
        <color theme="3"/>
      </bottom>
      <diagonal/>
    </border>
    <border>
      <left style="thin">
        <color theme="3"/>
      </left>
      <right style="medium">
        <color theme="3"/>
      </right>
      <top style="medium">
        <color theme="3"/>
      </top>
      <bottom style="medium">
        <color theme="3"/>
      </bottom>
      <diagonal/>
    </border>
  </borders>
  <cellStyleXfs count="2">
    <xf numFmtId="0" fontId="0" fillId="0" borderId="0"/>
    <xf numFmtId="0" fontId="1" fillId="14" borderId="0" applyNumberFormat="0" applyBorder="0" applyAlignment="0" applyProtection="0"/>
  </cellStyleXfs>
  <cellXfs count="143">
    <xf numFmtId="0" fontId="0" fillId="0" borderId="0" xfId="0"/>
    <xf numFmtId="0" fontId="30" fillId="3" borderId="0" xfId="0" applyFont="1" applyFill="1" applyAlignment="1">
      <alignment horizontal="left" vertical="center" wrapText="1"/>
    </xf>
    <xf numFmtId="0" fontId="5" fillId="6" borderId="2" xfId="0" applyFont="1" applyFill="1" applyBorder="1" applyAlignment="1">
      <alignment horizontal="left" vertical="center"/>
    </xf>
    <xf numFmtId="0" fontId="4" fillId="12" borderId="0" xfId="0" applyFont="1" applyFill="1" applyAlignment="1">
      <alignment horizontal="left" vertical="center"/>
    </xf>
    <xf numFmtId="0" fontId="24" fillId="10" borderId="0" xfId="0" applyFont="1" applyFill="1" applyAlignment="1">
      <alignment horizontal="left" vertical="center"/>
    </xf>
    <xf numFmtId="0" fontId="3" fillId="3" borderId="0" xfId="0" applyFont="1" applyFill="1" applyAlignment="1">
      <alignment horizontal="left" vertical="center" wrapText="1"/>
    </xf>
    <xf numFmtId="0" fontId="3" fillId="3" borderId="0" xfId="0" applyFont="1" applyFill="1" applyAlignment="1">
      <alignment horizontal="left" vertical="center"/>
    </xf>
    <xf numFmtId="0" fontId="2" fillId="2" borderId="0" xfId="0" applyFont="1" applyFill="1" applyAlignment="1">
      <alignment horizontal="left" vertical="center"/>
    </xf>
    <xf numFmtId="0" fontId="14" fillId="6" borderId="0" xfId="0" applyFont="1" applyFill="1" applyAlignment="1">
      <alignment horizontal="left" vertical="center" wrapText="1"/>
    </xf>
    <xf numFmtId="0" fontId="13" fillId="3" borderId="0" xfId="0" applyFont="1" applyFill="1" applyAlignment="1">
      <alignment horizontal="left" vertical="center"/>
    </xf>
    <xf numFmtId="0" fontId="12" fillId="2" borderId="0" xfId="0" applyFont="1" applyFill="1" applyAlignment="1">
      <alignment horizontal="left" vertical="center"/>
    </xf>
    <xf numFmtId="0" fontId="4" fillId="2" borderId="1" xfId="0" applyFont="1" applyFill="1" applyBorder="1" applyAlignment="1">
      <alignment horizontal="center" vertical="center" wrapText="1"/>
    </xf>
    <xf numFmtId="0" fontId="5" fillId="0" borderId="2" xfId="0" applyFont="1" applyBorder="1" applyAlignment="1">
      <alignment horizontal="left" vertical="center"/>
    </xf>
    <xf numFmtId="3" fontId="5" fillId="0" borderId="2" xfId="0" applyNumberFormat="1" applyFont="1" applyBorder="1" applyAlignment="1">
      <alignment horizontal="right" vertical="center"/>
    </xf>
    <xf numFmtId="164" fontId="5" fillId="0" borderId="2" xfId="0" applyNumberFormat="1" applyFont="1" applyBorder="1" applyAlignment="1">
      <alignment horizontal="right" vertical="center"/>
    </xf>
    <xf numFmtId="164" fontId="6" fillId="0" borderId="2" xfId="0" applyNumberFormat="1" applyFont="1" applyBorder="1" applyAlignment="1">
      <alignment horizontal="right" vertical="center"/>
    </xf>
    <xf numFmtId="164" fontId="7" fillId="0" borderId="2" xfId="0" applyNumberFormat="1" applyFont="1" applyBorder="1" applyAlignment="1">
      <alignment horizontal="right"/>
    </xf>
    <xf numFmtId="165" fontId="7" fillId="0" borderId="2" xfId="0" applyNumberFormat="1" applyFont="1" applyBorder="1" applyAlignment="1">
      <alignment horizontal="right"/>
    </xf>
    <xf numFmtId="0" fontId="5" fillId="4" borderId="2" xfId="0" applyFont="1" applyFill="1" applyBorder="1" applyAlignment="1">
      <alignment horizontal="left" vertical="center"/>
    </xf>
    <xf numFmtId="3" fontId="5" fillId="4" borderId="2" xfId="0" applyNumberFormat="1" applyFont="1" applyFill="1" applyBorder="1" applyAlignment="1">
      <alignment horizontal="right" vertical="center"/>
    </xf>
    <xf numFmtId="164" fontId="5" fillId="4" borderId="2" xfId="0" applyNumberFormat="1" applyFont="1" applyFill="1" applyBorder="1" applyAlignment="1">
      <alignment horizontal="right" vertical="center"/>
    </xf>
    <xf numFmtId="164" fontId="6" fillId="4" borderId="2" xfId="0" applyNumberFormat="1" applyFont="1" applyFill="1" applyBorder="1" applyAlignment="1">
      <alignment horizontal="right" vertical="center"/>
    </xf>
    <xf numFmtId="164" fontId="7" fillId="4" borderId="2" xfId="0" applyNumberFormat="1" applyFont="1" applyFill="1" applyBorder="1" applyAlignment="1">
      <alignment horizontal="right"/>
    </xf>
    <xf numFmtId="165" fontId="7" fillId="4" borderId="2" xfId="0" applyNumberFormat="1" applyFont="1" applyFill="1" applyBorder="1" applyAlignment="1">
      <alignment horizontal="right"/>
    </xf>
    <xf numFmtId="0" fontId="8" fillId="0" borderId="0" xfId="0" applyFont="1"/>
    <xf numFmtId="3" fontId="9" fillId="0" borderId="2" xfId="0" applyNumberFormat="1" applyFont="1" applyBorder="1" applyAlignment="1">
      <alignment horizontal="right" vertical="center"/>
    </xf>
    <xf numFmtId="166" fontId="9" fillId="0" borderId="2" xfId="0" applyNumberFormat="1" applyFont="1" applyBorder="1" applyAlignment="1">
      <alignment horizontal="right"/>
    </xf>
    <xf numFmtId="167" fontId="9" fillId="0" borderId="2" xfId="0" applyNumberFormat="1" applyFont="1" applyBorder="1" applyAlignment="1">
      <alignment horizontal="right"/>
    </xf>
    <xf numFmtId="164" fontId="9" fillId="0" borderId="2" xfId="0" applyNumberFormat="1" applyFont="1" applyBorder="1" applyAlignment="1">
      <alignment horizontal="right" vertical="center"/>
    </xf>
    <xf numFmtId="168" fontId="9" fillId="0" borderId="2" xfId="0" applyNumberFormat="1" applyFont="1" applyBorder="1" applyAlignment="1">
      <alignment horizontal="right"/>
    </xf>
    <xf numFmtId="165" fontId="9" fillId="0" borderId="2" xfId="0" applyNumberFormat="1" applyFont="1" applyBorder="1" applyAlignment="1">
      <alignment horizontal="right"/>
    </xf>
    <xf numFmtId="169" fontId="10" fillId="0" borderId="2" xfId="0" applyNumberFormat="1" applyFont="1" applyBorder="1" applyAlignment="1">
      <alignment horizontal="right"/>
    </xf>
    <xf numFmtId="0" fontId="11" fillId="0" borderId="2" xfId="0" applyFont="1" applyBorder="1" applyAlignment="1">
      <alignment horizontal="left" vertical="center"/>
    </xf>
    <xf numFmtId="0" fontId="5" fillId="5" borderId="2" xfId="0" applyFont="1" applyFill="1" applyBorder="1" applyAlignment="1">
      <alignment horizontal="left" vertical="center"/>
    </xf>
    <xf numFmtId="3" fontId="9" fillId="5" borderId="2" xfId="0" applyNumberFormat="1" applyFont="1" applyFill="1" applyBorder="1" applyAlignment="1">
      <alignment horizontal="right" vertical="center"/>
    </xf>
    <xf numFmtId="166" fontId="9" fillId="5" borderId="2" xfId="0" applyNumberFormat="1" applyFont="1" applyFill="1" applyBorder="1" applyAlignment="1">
      <alignment horizontal="right"/>
    </xf>
    <xf numFmtId="167" fontId="9" fillId="5" borderId="2" xfId="0" applyNumberFormat="1" applyFont="1" applyFill="1" applyBorder="1" applyAlignment="1">
      <alignment horizontal="right"/>
    </xf>
    <xf numFmtId="164" fontId="9" fillId="5" borderId="2" xfId="0" applyNumberFormat="1" applyFont="1" applyFill="1" applyBorder="1" applyAlignment="1">
      <alignment horizontal="right" vertical="center"/>
    </xf>
    <xf numFmtId="168" fontId="9" fillId="5" borderId="2" xfId="0" applyNumberFormat="1" applyFont="1" applyFill="1" applyBorder="1" applyAlignment="1">
      <alignment horizontal="right"/>
    </xf>
    <xf numFmtId="165" fontId="9" fillId="5" borderId="2" xfId="0" applyNumberFormat="1" applyFont="1" applyFill="1" applyBorder="1" applyAlignment="1">
      <alignment horizontal="right"/>
    </xf>
    <xf numFmtId="169" fontId="10" fillId="5" borderId="2" xfId="0" applyNumberFormat="1" applyFont="1" applyFill="1" applyBorder="1" applyAlignment="1">
      <alignment horizontal="right"/>
    </xf>
    <xf numFmtId="0" fontId="0" fillId="0" borderId="0" xfId="0" applyAlignment="1">
      <alignment wrapText="1"/>
    </xf>
    <xf numFmtId="0" fontId="15" fillId="7" borderId="3" xfId="0" applyFont="1" applyFill="1" applyBorder="1" applyAlignment="1">
      <alignment horizontal="left" vertical="center"/>
    </xf>
    <xf numFmtId="0" fontId="15" fillId="7" borderId="3" xfId="0" applyFont="1" applyFill="1" applyBorder="1" applyAlignment="1">
      <alignment horizontal="center" vertical="center"/>
    </xf>
    <xf numFmtId="0" fontId="15" fillId="7" borderId="3" xfId="0" applyFont="1" applyFill="1" applyBorder="1" applyAlignment="1">
      <alignment horizontal="right" vertical="center"/>
    </xf>
    <xf numFmtId="0" fontId="15" fillId="7" borderId="3" xfId="0" applyFont="1" applyFill="1" applyBorder="1" applyAlignment="1">
      <alignment horizontal="left" vertical="center" wrapText="1"/>
    </xf>
    <xf numFmtId="0" fontId="16" fillId="8" borderId="3" xfId="0" applyFont="1" applyFill="1" applyBorder="1" applyAlignment="1">
      <alignment horizontal="left" vertical="center"/>
    </xf>
    <xf numFmtId="0" fontId="16" fillId="8" borderId="3" xfId="0" applyFont="1" applyFill="1" applyBorder="1" applyAlignment="1">
      <alignment horizontal="center" vertical="center"/>
    </xf>
    <xf numFmtId="0" fontId="16" fillId="8" borderId="3" xfId="0" applyFont="1" applyFill="1" applyBorder="1" applyAlignment="1">
      <alignment horizontal="left" vertical="center" wrapText="1"/>
    </xf>
    <xf numFmtId="0" fontId="17" fillId="8" borderId="3" xfId="0" applyFont="1" applyFill="1" applyBorder="1" applyAlignment="1">
      <alignment horizontal="left" vertical="center" wrapText="1"/>
    </xf>
    <xf numFmtId="0" fontId="16" fillId="9" borderId="3" xfId="0" applyFont="1" applyFill="1" applyBorder="1" applyAlignment="1">
      <alignment horizontal="left" vertical="center"/>
    </xf>
    <xf numFmtId="0" fontId="16" fillId="9" borderId="3" xfId="0" applyFont="1" applyFill="1" applyBorder="1" applyAlignment="1">
      <alignment horizontal="center" vertical="center"/>
    </xf>
    <xf numFmtId="0" fontId="17" fillId="9" borderId="3" xfId="0" applyFont="1" applyFill="1" applyBorder="1" applyAlignment="1">
      <alignment horizontal="center" vertical="center"/>
    </xf>
    <xf numFmtId="0" fontId="16" fillId="9" borderId="3" xfId="0" applyFont="1" applyFill="1" applyBorder="1" applyAlignment="1">
      <alignment horizontal="left" vertical="center" wrapText="1"/>
    </xf>
    <xf numFmtId="0" fontId="17" fillId="9" borderId="3" xfId="0" applyFont="1" applyFill="1" applyBorder="1" applyAlignment="1">
      <alignment horizontal="left" vertical="center" wrapText="1"/>
    </xf>
    <xf numFmtId="0" fontId="18" fillId="8" borderId="3" xfId="0" applyFont="1" applyFill="1" applyBorder="1" applyAlignment="1">
      <alignment horizontal="left" vertical="center"/>
    </xf>
    <xf numFmtId="0" fontId="18" fillId="8" borderId="3" xfId="0" applyFont="1" applyFill="1" applyBorder="1" applyAlignment="1">
      <alignment horizontal="center" vertical="center"/>
    </xf>
    <xf numFmtId="0" fontId="19" fillId="8" borderId="3" xfId="0" applyFont="1" applyFill="1" applyBorder="1" applyAlignment="1">
      <alignment horizontal="center" vertical="center"/>
    </xf>
    <xf numFmtId="0" fontId="18" fillId="8" borderId="3" xfId="0" applyFont="1" applyFill="1" applyBorder="1" applyAlignment="1">
      <alignment horizontal="left" vertical="center" wrapText="1"/>
    </xf>
    <xf numFmtId="0" fontId="19" fillId="8" borderId="3" xfId="0" applyFont="1" applyFill="1" applyBorder="1" applyAlignment="1">
      <alignment horizontal="left" vertical="center" wrapText="1"/>
    </xf>
    <xf numFmtId="0" fontId="18" fillId="9" borderId="3" xfId="0" applyFont="1" applyFill="1" applyBorder="1" applyAlignment="1">
      <alignment horizontal="left" vertical="center"/>
    </xf>
    <xf numFmtId="0" fontId="18" fillId="9" borderId="3" xfId="0" applyFont="1" applyFill="1" applyBorder="1" applyAlignment="1">
      <alignment horizontal="center" vertical="center"/>
    </xf>
    <xf numFmtId="0" fontId="19" fillId="9" borderId="3" xfId="0" applyFont="1" applyFill="1" applyBorder="1" applyAlignment="1">
      <alignment horizontal="center" vertical="center"/>
    </xf>
    <xf numFmtId="0" fontId="18" fillId="9" borderId="3" xfId="0" applyFont="1" applyFill="1" applyBorder="1" applyAlignment="1">
      <alignment horizontal="left" vertical="center" wrapText="1"/>
    </xf>
    <xf numFmtId="0" fontId="19" fillId="9" borderId="3" xfId="0" applyFont="1" applyFill="1" applyBorder="1" applyAlignment="1">
      <alignment horizontal="left" vertical="center" wrapText="1"/>
    </xf>
    <xf numFmtId="0" fontId="17" fillId="8" borderId="3" xfId="0" applyFont="1" applyFill="1" applyBorder="1" applyAlignment="1">
      <alignment horizontal="center" vertical="center"/>
    </xf>
    <xf numFmtId="0" fontId="20" fillId="9" borderId="3" xfId="0" applyFont="1" applyFill="1" applyBorder="1" applyAlignment="1">
      <alignment vertical="center"/>
    </xf>
    <xf numFmtId="0" fontId="20" fillId="9" borderId="3" xfId="0" applyFont="1" applyFill="1" applyBorder="1" applyAlignment="1">
      <alignment horizontal="center" vertical="center"/>
    </xf>
    <xf numFmtId="0" fontId="20" fillId="9" borderId="3" xfId="0" applyFont="1" applyFill="1" applyBorder="1" applyAlignment="1">
      <alignment vertical="center" wrapText="1"/>
    </xf>
    <xf numFmtId="0" fontId="19" fillId="9" borderId="3" xfId="0" applyFont="1" applyFill="1" applyBorder="1" applyAlignment="1">
      <alignment horizontal="left" vertical="center"/>
    </xf>
    <xf numFmtId="0" fontId="21" fillId="9" borderId="3" xfId="0" applyFont="1" applyFill="1" applyBorder="1" applyAlignment="1">
      <alignment vertical="center"/>
    </xf>
    <xf numFmtId="0" fontId="21" fillId="9" borderId="3" xfId="0" applyFont="1" applyFill="1" applyBorder="1" applyAlignment="1">
      <alignment horizontal="center" vertical="center"/>
    </xf>
    <xf numFmtId="0" fontId="21" fillId="9" borderId="3" xfId="0" applyFont="1" applyFill="1" applyBorder="1" applyAlignment="1">
      <alignment vertical="center" wrapText="1"/>
    </xf>
    <xf numFmtId="0" fontId="20" fillId="8" borderId="3" xfId="0" applyFont="1" applyFill="1" applyBorder="1" applyAlignment="1">
      <alignment vertical="center"/>
    </xf>
    <xf numFmtId="0" fontId="20" fillId="8" borderId="3" xfId="0" applyFont="1" applyFill="1" applyBorder="1" applyAlignment="1">
      <alignment horizontal="center" vertical="center"/>
    </xf>
    <xf numFmtId="0" fontId="20" fillId="8" borderId="3" xfId="0" applyFont="1" applyFill="1" applyBorder="1" applyAlignment="1">
      <alignment vertical="center" wrapText="1"/>
    </xf>
    <xf numFmtId="0" fontId="20" fillId="0" borderId="0" xfId="0" applyFont="1" applyAlignment="1">
      <alignment vertical="center"/>
    </xf>
    <xf numFmtId="0" fontId="20" fillId="0" borderId="0" xfId="0" applyFont="1" applyAlignment="1">
      <alignment vertical="center" wrapText="1"/>
    </xf>
    <xf numFmtId="0" fontId="0" fillId="0" borderId="0" xfId="0" applyAlignment="1">
      <alignment vertical="center"/>
    </xf>
    <xf numFmtId="0" fontId="0" fillId="0" borderId="0" xfId="0" applyAlignment="1">
      <alignment vertical="center" wrapText="1"/>
    </xf>
    <xf numFmtId="0" fontId="25" fillId="11" borderId="1" xfId="0" applyFont="1" applyFill="1" applyBorder="1" applyAlignment="1">
      <alignment horizontal="center" vertical="center" wrapText="1"/>
    </xf>
    <xf numFmtId="0" fontId="26" fillId="0" borderId="2" xfId="0" applyFont="1" applyBorder="1" applyAlignment="1">
      <alignment horizontal="left" vertical="center"/>
    </xf>
    <xf numFmtId="0" fontId="5" fillId="0" borderId="2" xfId="0" applyFont="1" applyBorder="1" applyAlignment="1">
      <alignment horizontal="right" vertical="center"/>
    </xf>
    <xf numFmtId="0" fontId="5" fillId="0" borderId="2" xfId="0" applyFont="1" applyBorder="1" applyAlignment="1">
      <alignment horizontal="center" vertical="center"/>
    </xf>
    <xf numFmtId="3" fontId="5" fillId="0" borderId="2" xfId="0" applyNumberFormat="1" applyFont="1" applyBorder="1" applyAlignment="1">
      <alignment horizontal="center" vertical="center"/>
    </xf>
    <xf numFmtId="165" fontId="5" fillId="0" borderId="2" xfId="0" applyNumberFormat="1" applyFont="1" applyBorder="1" applyAlignment="1">
      <alignment horizontal="right" vertical="center"/>
    </xf>
    <xf numFmtId="0" fontId="26" fillId="6" borderId="2" xfId="0" applyFont="1" applyFill="1" applyBorder="1" applyAlignment="1">
      <alignment horizontal="left" vertical="center"/>
    </xf>
    <xf numFmtId="0" fontId="27" fillId="6" borderId="2" xfId="0" applyFont="1" applyFill="1" applyBorder="1" applyAlignment="1">
      <alignment horizontal="left" vertical="center"/>
    </xf>
    <xf numFmtId="0" fontId="28" fillId="13" borderId="0" xfId="0" applyFont="1" applyFill="1"/>
    <xf numFmtId="0" fontId="29" fillId="13" borderId="0" xfId="0" applyFont="1" applyFill="1"/>
    <xf numFmtId="0" fontId="0" fillId="13" borderId="0" xfId="0" applyFill="1"/>
    <xf numFmtId="0" fontId="1" fillId="14" borderId="0" xfId="1"/>
    <xf numFmtId="0" fontId="0" fillId="0" borderId="0" xfId="0" applyAlignment="1">
      <alignment horizontal="left" vertical="top" wrapText="1"/>
    </xf>
    <xf numFmtId="0" fontId="20" fillId="8" borderId="4" xfId="0" applyFont="1" applyFill="1" applyBorder="1" applyAlignment="1">
      <alignment vertical="center"/>
    </xf>
    <xf numFmtId="0" fontId="20" fillId="8" borderId="4" xfId="0" applyFont="1" applyFill="1" applyBorder="1" applyAlignment="1">
      <alignment horizontal="center" vertical="center"/>
    </xf>
    <xf numFmtId="0" fontId="20" fillId="8" borderId="4" xfId="0" applyFont="1" applyFill="1" applyBorder="1" applyAlignment="1">
      <alignment vertical="center" wrapText="1"/>
    </xf>
    <xf numFmtId="0" fontId="20" fillId="0" borderId="0" xfId="0" applyFont="1" applyBorder="1" applyAlignment="1">
      <alignment vertical="center"/>
    </xf>
    <xf numFmtId="0" fontId="20" fillId="0" borderId="0" xfId="0" applyFont="1" applyBorder="1" applyAlignment="1">
      <alignment horizontal="center" vertical="center"/>
    </xf>
    <xf numFmtId="0" fontId="20" fillId="0" borderId="0" xfId="0" applyFont="1" applyBorder="1" applyAlignment="1">
      <alignment vertical="center" wrapText="1"/>
    </xf>
    <xf numFmtId="0" fontId="20" fillId="0" borderId="0" xfId="0" applyFont="1" applyBorder="1" applyAlignment="1">
      <alignment vertical="center"/>
    </xf>
    <xf numFmtId="0" fontId="20" fillId="0" borderId="5" xfId="0" applyFont="1" applyBorder="1" applyAlignment="1">
      <alignment vertical="center"/>
    </xf>
    <xf numFmtId="0" fontId="20" fillId="0" borderId="5" xfId="0" applyFont="1" applyBorder="1" applyAlignment="1">
      <alignment horizontal="center" vertical="center"/>
    </xf>
    <xf numFmtId="0" fontId="20" fillId="0" borderId="5" xfId="0" applyFont="1" applyBorder="1" applyAlignment="1">
      <alignment vertical="center" wrapText="1"/>
    </xf>
    <xf numFmtId="0" fontId="0" fillId="0" borderId="0" xfId="0" applyBorder="1"/>
    <xf numFmtId="0" fontId="22" fillId="0" borderId="0" xfId="0" applyFont="1" applyBorder="1"/>
    <xf numFmtId="0" fontId="23" fillId="0" borderId="0" xfId="0" applyFont="1" applyBorder="1"/>
    <xf numFmtId="0" fontId="0" fillId="0" borderId="0" xfId="0" applyBorder="1" applyAlignment="1">
      <alignment vertical="center"/>
    </xf>
    <xf numFmtId="0" fontId="20" fillId="0" borderId="5" xfId="0" applyFont="1" applyBorder="1" applyAlignment="1">
      <alignment horizontal="left" vertical="center"/>
    </xf>
    <xf numFmtId="0" fontId="4" fillId="0" borderId="0" xfId="0" applyFont="1" applyBorder="1" applyAlignment="1">
      <alignment horizontal="left" vertical="center"/>
    </xf>
    <xf numFmtId="3" fontId="4" fillId="0" borderId="0" xfId="0" applyNumberFormat="1" applyFont="1" applyBorder="1" applyAlignment="1">
      <alignment horizontal="right" vertical="center"/>
    </xf>
    <xf numFmtId="166" fontId="4" fillId="0" borderId="0" xfId="0" applyNumberFormat="1" applyFont="1" applyBorder="1" applyAlignment="1">
      <alignment horizontal="right" vertical="center"/>
    </xf>
    <xf numFmtId="0" fontId="4" fillId="0" borderId="0" xfId="0" applyFont="1" applyBorder="1" applyAlignment="1">
      <alignment horizontal="center"/>
    </xf>
    <xf numFmtId="165" fontId="4" fillId="0" borderId="0" xfId="0" applyNumberFormat="1" applyFont="1" applyBorder="1" applyAlignment="1">
      <alignment horizontal="right" vertical="center"/>
    </xf>
    <xf numFmtId="169" fontId="4" fillId="0" borderId="0" xfId="0" applyNumberFormat="1" applyFont="1" applyBorder="1" applyAlignment="1">
      <alignment horizontal="right" vertical="center"/>
    </xf>
    <xf numFmtId="0" fontId="5" fillId="0" borderId="6" xfId="0" applyFont="1" applyBorder="1" applyAlignment="1">
      <alignment horizontal="left" vertical="center"/>
    </xf>
    <xf numFmtId="3" fontId="9" fillId="0" borderId="6" xfId="0" applyNumberFormat="1" applyFont="1" applyBorder="1" applyAlignment="1">
      <alignment horizontal="right" vertical="center"/>
    </xf>
    <xf numFmtId="166" fontId="9" fillId="0" borderId="6" xfId="0" applyNumberFormat="1" applyFont="1" applyBorder="1" applyAlignment="1">
      <alignment horizontal="right"/>
    </xf>
    <xf numFmtId="167" fontId="9" fillId="0" borderId="6" xfId="0" applyNumberFormat="1" applyFont="1" applyBorder="1" applyAlignment="1">
      <alignment horizontal="right"/>
    </xf>
    <xf numFmtId="164" fontId="9" fillId="0" borderId="6" xfId="0" applyNumberFormat="1" applyFont="1" applyBorder="1" applyAlignment="1">
      <alignment horizontal="right" vertical="center"/>
    </xf>
    <xf numFmtId="168" fontId="9" fillId="0" borderId="6" xfId="0" applyNumberFormat="1" applyFont="1" applyBorder="1" applyAlignment="1">
      <alignment horizontal="right"/>
    </xf>
    <xf numFmtId="165" fontId="9" fillId="0" borderId="6" xfId="0" applyNumberFormat="1" applyFont="1" applyBorder="1" applyAlignment="1">
      <alignment horizontal="right"/>
    </xf>
    <xf numFmtId="169" fontId="10" fillId="0" borderId="6" xfId="0" applyNumberFormat="1" applyFont="1" applyBorder="1" applyAlignment="1">
      <alignment horizontal="right"/>
    </xf>
    <xf numFmtId="0" fontId="31" fillId="0" borderId="2" xfId="0" applyFont="1" applyBorder="1" applyAlignment="1">
      <alignment horizontal="center" vertical="center"/>
    </xf>
    <xf numFmtId="0" fontId="5" fillId="4" borderId="6" xfId="0" applyFont="1" applyFill="1" applyBorder="1" applyAlignment="1">
      <alignment horizontal="left" vertical="center"/>
    </xf>
    <xf numFmtId="3" fontId="5" fillId="4" borderId="6" xfId="0" applyNumberFormat="1" applyFont="1" applyFill="1" applyBorder="1" applyAlignment="1">
      <alignment horizontal="right" vertical="center"/>
    </xf>
    <xf numFmtId="164" fontId="5" fillId="4" borderId="6" xfId="0" applyNumberFormat="1" applyFont="1" applyFill="1" applyBorder="1" applyAlignment="1">
      <alignment horizontal="right" vertical="center"/>
    </xf>
    <xf numFmtId="164" fontId="6" fillId="4" borderId="6" xfId="0" applyNumberFormat="1" applyFont="1" applyFill="1" applyBorder="1" applyAlignment="1">
      <alignment horizontal="right" vertical="center"/>
    </xf>
    <xf numFmtId="164" fontId="7" fillId="4" borderId="6" xfId="0" applyNumberFormat="1" applyFont="1" applyFill="1" applyBorder="1" applyAlignment="1">
      <alignment horizontal="right"/>
    </xf>
    <xf numFmtId="165" fontId="7" fillId="4" borderId="6" xfId="0" applyNumberFormat="1" applyFont="1" applyFill="1" applyBorder="1" applyAlignment="1">
      <alignment horizontal="right"/>
    </xf>
    <xf numFmtId="0" fontId="5" fillId="0" borderId="7" xfId="0" applyFont="1" applyBorder="1" applyAlignment="1">
      <alignment horizontal="left" vertical="center"/>
    </xf>
    <xf numFmtId="3" fontId="5" fillId="0" borderId="8" xfId="0" applyNumberFormat="1" applyFont="1" applyBorder="1" applyAlignment="1">
      <alignment horizontal="right" vertical="center"/>
    </xf>
    <xf numFmtId="164" fontId="5" fillId="0" borderId="8" xfId="0" applyNumberFormat="1" applyFont="1" applyBorder="1" applyAlignment="1">
      <alignment horizontal="right" vertical="center"/>
    </xf>
    <xf numFmtId="164" fontId="6" fillId="0" borderId="8" xfId="0" applyNumberFormat="1" applyFont="1" applyBorder="1" applyAlignment="1">
      <alignment horizontal="right" vertical="center"/>
    </xf>
    <xf numFmtId="164" fontId="7" fillId="0" borderId="8" xfId="0" applyNumberFormat="1" applyFont="1" applyBorder="1" applyAlignment="1">
      <alignment horizontal="right"/>
    </xf>
    <xf numFmtId="165" fontId="7" fillId="0" borderId="9" xfId="0" applyNumberFormat="1" applyFont="1" applyBorder="1" applyAlignment="1">
      <alignment horizontal="right"/>
    </xf>
    <xf numFmtId="0" fontId="5" fillId="5" borderId="7" xfId="0" applyFont="1" applyFill="1" applyBorder="1" applyAlignment="1">
      <alignment horizontal="left" vertical="center"/>
    </xf>
    <xf numFmtId="3" fontId="9" fillId="5" borderId="8" xfId="0" applyNumberFormat="1" applyFont="1" applyFill="1" applyBorder="1" applyAlignment="1">
      <alignment horizontal="right" vertical="center"/>
    </xf>
    <xf numFmtId="166" fontId="9" fillId="5" borderId="8" xfId="0" applyNumberFormat="1" applyFont="1" applyFill="1" applyBorder="1" applyAlignment="1">
      <alignment horizontal="right"/>
    </xf>
    <xf numFmtId="167" fontId="9" fillId="5" borderId="8" xfId="0" applyNumberFormat="1" applyFont="1" applyFill="1" applyBorder="1" applyAlignment="1">
      <alignment horizontal="right"/>
    </xf>
    <xf numFmtId="164" fontId="9" fillId="5" borderId="8" xfId="0" applyNumberFormat="1" applyFont="1" applyFill="1" applyBorder="1" applyAlignment="1">
      <alignment horizontal="right" vertical="center"/>
    </xf>
    <xf numFmtId="168" fontId="9" fillId="5" borderId="8" xfId="0" applyNumberFormat="1" applyFont="1" applyFill="1" applyBorder="1" applyAlignment="1">
      <alignment horizontal="right"/>
    </xf>
    <xf numFmtId="165" fontId="9" fillId="5" borderId="8" xfId="0" applyNumberFormat="1" applyFont="1" applyFill="1" applyBorder="1" applyAlignment="1">
      <alignment horizontal="right"/>
    </xf>
    <xf numFmtId="169" fontId="10" fillId="5" borderId="9" xfId="0" applyNumberFormat="1" applyFont="1" applyFill="1" applyBorder="1" applyAlignment="1">
      <alignment horizontal="right"/>
    </xf>
  </cellXfs>
  <cellStyles count="2">
    <cellStyle name="20% - Accent6" xfId="1" builtinId="50"/>
    <cellStyle name="Normal" xfId="0" builtinId="0"/>
  </cellStyles>
  <dxfs count="2">
    <dxf>
      <font>
        <color rgb="FFC00000"/>
      </font>
    </dxf>
    <dxf>
      <font>
        <color rgb="FF4F6228"/>
      </font>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4F6228"/>
      <rgbColor rgb="FF800080"/>
      <rgbColor rgb="FF008080"/>
      <rgbColor rgb="FFD9D9D9"/>
      <rgbColor rgb="FF808080"/>
      <rgbColor rgb="FF9999FF"/>
      <rgbColor rgb="FF993366"/>
      <rgbColor rgb="FFFDEADA"/>
      <rgbColor rgb="FFD6E4F0"/>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E2F0D9"/>
      <rgbColor rgb="FFFCE4E4"/>
      <rgbColor rgb="FF99CCFF"/>
      <rgbColor rgb="FFFF99CC"/>
      <rgbColor rgb="FFCC99FF"/>
      <rgbColor rgb="FFFCE4D6"/>
      <rgbColor rgb="FF2E75B6"/>
      <rgbColor rgb="FF33CCCC"/>
      <rgbColor rgb="FF99CC00"/>
      <rgbColor rgb="FFFFCC00"/>
      <rgbColor rgb="FFFF9900"/>
      <rgbColor rgb="FFFF6600"/>
      <rgbColor rgb="FF595959"/>
      <rgbColor rgb="FF969696"/>
      <rgbColor rgb="FF003366"/>
      <rgbColor rgb="FF4F81BD"/>
      <rgbColor rgb="FF003300"/>
      <rgbColor rgb="FF333300"/>
      <rgbColor rgb="FF993300"/>
      <rgbColor rgb="FF993366"/>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
  <sheetViews>
    <sheetView showGridLines="0" zoomScaleNormal="100" workbookViewId="0">
      <selection activeCell="D30" sqref="D30"/>
    </sheetView>
  </sheetViews>
  <sheetFormatPr defaultColWidth="8.6328125" defaultRowHeight="14.5" x14ac:dyDescent="0.35"/>
  <cols>
    <col min="1" max="1" width="30" customWidth="1"/>
    <col min="2" max="5" width="16" customWidth="1"/>
    <col min="6" max="6" width="22" customWidth="1"/>
  </cols>
  <sheetData>
    <row r="1" spans="1:6" ht="27.75" customHeight="1" x14ac:dyDescent="0.35">
      <c r="A1" s="7" t="s">
        <v>0</v>
      </c>
      <c r="B1" s="7"/>
      <c r="C1" s="7"/>
      <c r="D1" s="7"/>
      <c r="E1" s="7"/>
      <c r="F1" s="7"/>
    </row>
    <row r="2" spans="1:6" ht="15.75" customHeight="1" x14ac:dyDescent="0.35">
      <c r="A2" s="6" t="s">
        <v>1</v>
      </c>
      <c r="B2" s="6"/>
      <c r="C2" s="6"/>
      <c r="D2" s="6"/>
      <c r="E2" s="6"/>
      <c r="F2" s="6"/>
    </row>
    <row r="3" spans="1:6" ht="62" customHeight="1" x14ac:dyDescent="0.35">
      <c r="A3" s="5" t="s">
        <v>2</v>
      </c>
      <c r="B3" s="5"/>
      <c r="C3" s="5"/>
      <c r="D3" s="5"/>
      <c r="E3" s="5"/>
      <c r="F3" s="5"/>
    </row>
    <row r="4" spans="1:6" ht="30" customHeight="1" x14ac:dyDescent="0.35">
      <c r="A4" s="11" t="s">
        <v>3</v>
      </c>
      <c r="B4" s="11" t="s">
        <v>4</v>
      </c>
      <c r="C4" s="11" t="s">
        <v>5</v>
      </c>
      <c r="D4" s="11" t="s">
        <v>6</v>
      </c>
      <c r="E4" s="11" t="s">
        <v>7</v>
      </c>
      <c r="F4" s="11" t="s">
        <v>8</v>
      </c>
    </row>
    <row r="5" spans="1:6" ht="14.25" customHeight="1" x14ac:dyDescent="0.35">
      <c r="A5" s="12" t="s">
        <v>9</v>
      </c>
      <c r="B5" s="13">
        <v>8005</v>
      </c>
      <c r="C5" s="14">
        <v>846.95</v>
      </c>
      <c r="D5" s="15">
        <v>0</v>
      </c>
      <c r="E5" s="16">
        <f t="shared" ref="E5:E16" si="0">C5-D5</f>
        <v>846.95</v>
      </c>
      <c r="F5" s="17">
        <f t="shared" ref="F5:F16" si="1">B5*C5*12</f>
        <v>81358017</v>
      </c>
    </row>
    <row r="6" spans="1:6" ht="14.25" customHeight="1" x14ac:dyDescent="0.35">
      <c r="A6" s="18" t="s">
        <v>10</v>
      </c>
      <c r="B6" s="19">
        <v>22380</v>
      </c>
      <c r="C6" s="20">
        <v>366.71</v>
      </c>
      <c r="D6" s="21">
        <v>0</v>
      </c>
      <c r="E6" s="22">
        <f t="shared" si="0"/>
        <v>366.71</v>
      </c>
      <c r="F6" s="23">
        <f t="shared" si="1"/>
        <v>98483637.599999994</v>
      </c>
    </row>
    <row r="7" spans="1:6" ht="14.25" customHeight="1" x14ac:dyDescent="0.35">
      <c r="A7" s="12" t="s">
        <v>11</v>
      </c>
      <c r="B7" s="13">
        <v>15000</v>
      </c>
      <c r="C7" s="14">
        <v>415.86</v>
      </c>
      <c r="D7" s="15">
        <v>0</v>
      </c>
      <c r="E7" s="16">
        <f t="shared" si="0"/>
        <v>415.86</v>
      </c>
      <c r="F7" s="17">
        <f t="shared" si="1"/>
        <v>74854800</v>
      </c>
    </row>
    <row r="8" spans="1:6" ht="14.25" customHeight="1" x14ac:dyDescent="0.35">
      <c r="A8" s="18" t="s">
        <v>12</v>
      </c>
      <c r="B8" s="19">
        <v>38000</v>
      </c>
      <c r="C8" s="20">
        <v>491.19</v>
      </c>
      <c r="D8" s="21">
        <v>0</v>
      </c>
      <c r="E8" s="22">
        <f t="shared" si="0"/>
        <v>491.19</v>
      </c>
      <c r="F8" s="23">
        <f t="shared" si="1"/>
        <v>223982640</v>
      </c>
    </row>
    <row r="9" spans="1:6" ht="14.25" customHeight="1" x14ac:dyDescent="0.35">
      <c r="A9" s="12" t="s">
        <v>13</v>
      </c>
      <c r="B9" s="13">
        <v>22500</v>
      </c>
      <c r="C9" s="14">
        <v>450.49</v>
      </c>
      <c r="D9" s="15">
        <v>0</v>
      </c>
      <c r="E9" s="16">
        <f t="shared" si="0"/>
        <v>450.49</v>
      </c>
      <c r="F9" s="17">
        <f t="shared" si="1"/>
        <v>121632300</v>
      </c>
    </row>
    <row r="10" spans="1:6" ht="14.25" customHeight="1" x14ac:dyDescent="0.35">
      <c r="A10" s="18" t="s">
        <v>14</v>
      </c>
      <c r="B10" s="19">
        <v>1800</v>
      </c>
      <c r="C10" s="20">
        <v>1129.82</v>
      </c>
      <c r="D10" s="21">
        <v>0</v>
      </c>
      <c r="E10" s="22">
        <f t="shared" si="0"/>
        <v>1129.82</v>
      </c>
      <c r="F10" s="23">
        <f t="shared" si="1"/>
        <v>24404112</v>
      </c>
    </row>
    <row r="11" spans="1:6" ht="14.25" customHeight="1" x14ac:dyDescent="0.35">
      <c r="A11" s="12" t="s">
        <v>15</v>
      </c>
      <c r="B11" s="13">
        <v>58480</v>
      </c>
      <c r="C11" s="14">
        <v>285.39</v>
      </c>
      <c r="D11" s="15">
        <v>0</v>
      </c>
      <c r="E11" s="16">
        <f t="shared" si="0"/>
        <v>285.39</v>
      </c>
      <c r="F11" s="17">
        <f t="shared" si="1"/>
        <v>200275286.39999998</v>
      </c>
    </row>
    <row r="12" spans="1:6" ht="14.25" customHeight="1" x14ac:dyDescent="0.35">
      <c r="A12" s="18" t="s">
        <v>16</v>
      </c>
      <c r="B12" s="19">
        <v>4411</v>
      </c>
      <c r="C12" s="20">
        <v>184.55</v>
      </c>
      <c r="D12" s="21">
        <v>0</v>
      </c>
      <c r="E12" s="22">
        <f t="shared" si="0"/>
        <v>184.55</v>
      </c>
      <c r="F12" s="23">
        <f t="shared" si="1"/>
        <v>9768600.6000000015</v>
      </c>
    </row>
    <row r="13" spans="1:6" ht="14.25" customHeight="1" x14ac:dyDescent="0.35">
      <c r="A13" s="12" t="s">
        <v>17</v>
      </c>
      <c r="B13" s="13">
        <v>252</v>
      </c>
      <c r="C13" s="14">
        <v>400</v>
      </c>
      <c r="D13" s="15">
        <v>0</v>
      </c>
      <c r="E13" s="16">
        <f t="shared" si="0"/>
        <v>400</v>
      </c>
      <c r="F13" s="17">
        <f t="shared" si="1"/>
        <v>1209600</v>
      </c>
    </row>
    <row r="14" spans="1:6" ht="14.25" customHeight="1" x14ac:dyDescent="0.35">
      <c r="A14" s="18" t="s">
        <v>18</v>
      </c>
      <c r="B14" s="19">
        <v>9763</v>
      </c>
      <c r="C14" s="20">
        <v>66.849999999999994</v>
      </c>
      <c r="D14" s="21">
        <v>0</v>
      </c>
      <c r="E14" s="22">
        <f t="shared" si="0"/>
        <v>66.849999999999994</v>
      </c>
      <c r="F14" s="23">
        <f t="shared" si="1"/>
        <v>7831878.5999999996</v>
      </c>
    </row>
    <row r="15" spans="1:6" ht="14.25" customHeight="1" x14ac:dyDescent="0.35">
      <c r="A15" s="12" t="s">
        <v>19</v>
      </c>
      <c r="B15" s="13">
        <v>14165</v>
      </c>
      <c r="C15" s="14">
        <v>31.85</v>
      </c>
      <c r="D15" s="15">
        <v>0</v>
      </c>
      <c r="E15" s="16">
        <f t="shared" si="0"/>
        <v>31.85</v>
      </c>
      <c r="F15" s="17">
        <f t="shared" si="1"/>
        <v>5413863</v>
      </c>
    </row>
    <row r="16" spans="1:6" ht="14.25" customHeight="1" thickBot="1" x14ac:dyDescent="0.4">
      <c r="A16" s="123" t="s">
        <v>20</v>
      </c>
      <c r="B16" s="124">
        <v>4995</v>
      </c>
      <c r="C16" s="125">
        <v>30.98</v>
      </c>
      <c r="D16" s="126">
        <v>0</v>
      </c>
      <c r="E16" s="127">
        <f t="shared" si="0"/>
        <v>30.98</v>
      </c>
      <c r="F16" s="128">
        <f t="shared" si="1"/>
        <v>1856941.2000000002</v>
      </c>
    </row>
    <row r="17" spans="1:6" ht="14.25" customHeight="1" thickBot="1" x14ac:dyDescent="0.4">
      <c r="A17" s="129" t="s">
        <v>21</v>
      </c>
      <c r="B17" s="130">
        <f>SUM(B5:B16)</f>
        <v>199751</v>
      </c>
      <c r="C17" s="131">
        <f>SUMPRODUCT(B5:B16,C5:C16)/SUM(B5:B16)</f>
        <v>355.05524227663437</v>
      </c>
      <c r="D17" s="132" t="s">
        <v>22</v>
      </c>
      <c r="E17" s="133">
        <f>SUMPRODUCT(B5:B16,E5:E16)/SUM(B5:B16)</f>
        <v>355.05524227663437</v>
      </c>
      <c r="F17" s="134">
        <f>SUM(F5:F16)</f>
        <v>851071676.4000001</v>
      </c>
    </row>
    <row r="18" spans="1:6" ht="18" customHeight="1" x14ac:dyDescent="0.35">
      <c r="A18" s="24" t="s">
        <v>23</v>
      </c>
      <c r="F18" s="112"/>
    </row>
    <row r="19" spans="1:6" ht="14.25" customHeight="1" x14ac:dyDescent="0.35"/>
  </sheetData>
  <mergeCells count="3">
    <mergeCell ref="A1:F1"/>
    <mergeCell ref="A2:F2"/>
    <mergeCell ref="A3:F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9"/>
  <sheetViews>
    <sheetView showGridLines="0" zoomScaleNormal="100" workbookViewId="0">
      <pane ySplit="4" topLeftCell="A5" activePane="bottomLeft" state="frozen"/>
      <selection pane="bottomLeft" activeCell="C19" sqref="C19"/>
    </sheetView>
  </sheetViews>
  <sheetFormatPr defaultColWidth="8.6328125" defaultRowHeight="14.5" x14ac:dyDescent="0.35"/>
  <cols>
    <col min="1" max="1" width="28" customWidth="1"/>
    <col min="2" max="4" width="14" customWidth="1"/>
    <col min="5" max="5" width="11" customWidth="1"/>
    <col min="6" max="7" width="14" customWidth="1"/>
    <col min="8" max="8" width="16" customWidth="1"/>
    <col min="9" max="9" width="11" customWidth="1"/>
    <col min="10" max="12" width="18" customWidth="1"/>
  </cols>
  <sheetData>
    <row r="1" spans="1:12" ht="27.75" customHeight="1" x14ac:dyDescent="0.35">
      <c r="A1" s="7" t="s">
        <v>24</v>
      </c>
      <c r="B1" s="7"/>
      <c r="C1" s="7"/>
      <c r="D1" s="7"/>
      <c r="E1" s="7"/>
      <c r="F1" s="7"/>
      <c r="G1" s="7"/>
      <c r="H1" s="7"/>
      <c r="I1" s="7"/>
      <c r="J1" s="7"/>
      <c r="K1" s="7"/>
      <c r="L1" s="7"/>
    </row>
    <row r="2" spans="1:12" ht="15.75" customHeight="1" x14ac:dyDescent="0.35">
      <c r="A2" s="6" t="s">
        <v>25</v>
      </c>
      <c r="B2" s="6"/>
      <c r="C2" s="6"/>
      <c r="D2" s="6"/>
      <c r="E2" s="6"/>
      <c r="F2" s="6"/>
      <c r="G2" s="6"/>
      <c r="H2" s="6"/>
      <c r="I2" s="6"/>
      <c r="J2" s="6"/>
      <c r="K2" s="6"/>
      <c r="L2" s="6"/>
    </row>
    <row r="3" spans="1:12" ht="34.5" customHeight="1" x14ac:dyDescent="0.35">
      <c r="A3" s="5" t="s">
        <v>26</v>
      </c>
      <c r="B3" s="5"/>
      <c r="C3" s="5"/>
      <c r="D3" s="5"/>
      <c r="E3" s="5"/>
      <c r="F3" s="5"/>
      <c r="G3" s="5"/>
      <c r="H3" s="5"/>
      <c r="I3" s="5"/>
      <c r="J3" s="5"/>
      <c r="K3" s="5"/>
      <c r="L3" s="5"/>
    </row>
    <row r="4" spans="1:12" ht="30" customHeight="1" x14ac:dyDescent="0.35">
      <c r="A4" s="11" t="s">
        <v>27</v>
      </c>
      <c r="B4" s="11" t="s">
        <v>28</v>
      </c>
      <c r="C4" s="11" t="s">
        <v>29</v>
      </c>
      <c r="D4" s="11" t="s">
        <v>30</v>
      </c>
      <c r="E4" s="11" t="s">
        <v>31</v>
      </c>
      <c r="F4" s="11" t="s">
        <v>32</v>
      </c>
      <c r="G4" s="11" t="s">
        <v>33</v>
      </c>
      <c r="H4" s="11" t="s">
        <v>34</v>
      </c>
      <c r="I4" s="11" t="s">
        <v>35</v>
      </c>
      <c r="J4" s="11" t="s">
        <v>36</v>
      </c>
      <c r="K4" s="11" t="s">
        <v>37</v>
      </c>
      <c r="L4" s="11" t="s">
        <v>38</v>
      </c>
    </row>
    <row r="5" spans="1:12" ht="15.75" customHeight="1" x14ac:dyDescent="0.35">
      <c r="A5" s="12" t="s">
        <v>9</v>
      </c>
      <c r="B5" s="25">
        <v>8005</v>
      </c>
      <c r="C5" s="25">
        <v>7402</v>
      </c>
      <c r="D5" s="26">
        <f t="shared" ref="D5:D16" si="0">C5-B5</f>
        <v>-603</v>
      </c>
      <c r="E5" s="27">
        <f t="shared" ref="E5:E16" si="1">D5/B5</f>
        <v>-7.5327920049968772E-2</v>
      </c>
      <c r="F5" s="28">
        <v>846.95</v>
      </c>
      <c r="G5" s="28">
        <v>1171.49</v>
      </c>
      <c r="H5" s="29">
        <f t="shared" ref="H5:H16" si="2">G5-F5</f>
        <v>324.53999999999996</v>
      </c>
      <c r="I5" s="27">
        <f t="shared" ref="I5:I16" si="3">H5/F5</f>
        <v>0.38318672885058142</v>
      </c>
      <c r="J5" s="30">
        <f t="shared" ref="J5:J16" si="4">B5*F5*12</f>
        <v>81358017</v>
      </c>
      <c r="K5" s="30">
        <f t="shared" ref="K5:K16" si="5">C5*G5*12</f>
        <v>104056427.76000001</v>
      </c>
      <c r="L5" s="31">
        <f t="shared" ref="L5:L16" si="6">K5-J5</f>
        <v>22698410.760000005</v>
      </c>
    </row>
    <row r="6" spans="1:12" ht="15.75" customHeight="1" x14ac:dyDescent="0.35">
      <c r="A6" s="12" t="s">
        <v>10</v>
      </c>
      <c r="B6" s="25">
        <v>22380</v>
      </c>
      <c r="C6" s="25">
        <v>21991</v>
      </c>
      <c r="D6" s="26">
        <f t="shared" si="0"/>
        <v>-389</v>
      </c>
      <c r="E6" s="27">
        <f t="shared" si="1"/>
        <v>-1.738159070598749E-2</v>
      </c>
      <c r="F6" s="28">
        <v>366.71</v>
      </c>
      <c r="G6" s="28">
        <v>440.44</v>
      </c>
      <c r="H6" s="29">
        <f t="shared" si="2"/>
        <v>73.730000000000018</v>
      </c>
      <c r="I6" s="27">
        <f t="shared" si="3"/>
        <v>0.20105805677510846</v>
      </c>
      <c r="J6" s="30">
        <f t="shared" si="4"/>
        <v>98483637.599999994</v>
      </c>
      <c r="K6" s="30">
        <f t="shared" si="5"/>
        <v>116228592.47999999</v>
      </c>
      <c r="L6" s="31">
        <f t="shared" si="6"/>
        <v>17744954.879999995</v>
      </c>
    </row>
    <row r="7" spans="1:12" ht="15.75" customHeight="1" x14ac:dyDescent="0.35">
      <c r="A7" s="12" t="s">
        <v>11</v>
      </c>
      <c r="B7" s="25">
        <v>15000</v>
      </c>
      <c r="C7" s="25">
        <v>12351</v>
      </c>
      <c r="D7" s="26">
        <f t="shared" si="0"/>
        <v>-2649</v>
      </c>
      <c r="E7" s="27">
        <f t="shared" si="1"/>
        <v>-0.17660000000000001</v>
      </c>
      <c r="F7" s="28">
        <v>415.86</v>
      </c>
      <c r="G7" s="28">
        <v>568.79</v>
      </c>
      <c r="H7" s="29">
        <f t="shared" si="2"/>
        <v>152.92999999999995</v>
      </c>
      <c r="I7" s="27">
        <f t="shared" si="3"/>
        <v>0.36774395229163648</v>
      </c>
      <c r="J7" s="30">
        <f t="shared" si="4"/>
        <v>74854800</v>
      </c>
      <c r="K7" s="30">
        <f t="shared" si="5"/>
        <v>84301503.479999989</v>
      </c>
      <c r="L7" s="31">
        <f t="shared" si="6"/>
        <v>9446703.4799999893</v>
      </c>
    </row>
    <row r="8" spans="1:12" ht="15.75" customHeight="1" x14ac:dyDescent="0.35">
      <c r="A8" s="32" t="s">
        <v>12</v>
      </c>
      <c r="B8" s="25">
        <v>38000</v>
      </c>
      <c r="C8" s="25">
        <v>35417</v>
      </c>
      <c r="D8" s="26">
        <f t="shared" si="0"/>
        <v>-2583</v>
      </c>
      <c r="E8" s="27">
        <f t="shared" si="1"/>
        <v>-6.7973684210526311E-2</v>
      </c>
      <c r="F8" s="28">
        <v>491.19</v>
      </c>
      <c r="G8" s="28">
        <v>584.85</v>
      </c>
      <c r="H8" s="29">
        <f t="shared" si="2"/>
        <v>93.660000000000025</v>
      </c>
      <c r="I8" s="27">
        <f t="shared" si="3"/>
        <v>0.19067977768277047</v>
      </c>
      <c r="J8" s="30">
        <f t="shared" si="4"/>
        <v>223982640</v>
      </c>
      <c r="K8" s="30">
        <f t="shared" si="5"/>
        <v>248563589.39999998</v>
      </c>
      <c r="L8" s="31">
        <f t="shared" si="6"/>
        <v>24580949.399999976</v>
      </c>
    </row>
    <row r="9" spans="1:12" ht="15.75" customHeight="1" x14ac:dyDescent="0.35">
      <c r="A9" s="32" t="s">
        <v>13</v>
      </c>
      <c r="B9" s="25">
        <v>22500</v>
      </c>
      <c r="C9" s="25">
        <v>21348</v>
      </c>
      <c r="D9" s="26">
        <f t="shared" si="0"/>
        <v>-1152</v>
      </c>
      <c r="E9" s="27">
        <f t="shared" si="1"/>
        <v>-5.1200000000000002E-2</v>
      </c>
      <c r="F9" s="28">
        <v>450.49</v>
      </c>
      <c r="G9" s="28">
        <v>522.94000000000005</v>
      </c>
      <c r="H9" s="29">
        <f t="shared" si="2"/>
        <v>72.450000000000045</v>
      </c>
      <c r="I9" s="27">
        <f t="shared" si="3"/>
        <v>0.16082487957557337</v>
      </c>
      <c r="J9" s="30">
        <f t="shared" si="4"/>
        <v>121632300</v>
      </c>
      <c r="K9" s="30">
        <f t="shared" si="5"/>
        <v>133964677.44000001</v>
      </c>
      <c r="L9" s="31">
        <f t="shared" si="6"/>
        <v>12332377.440000013</v>
      </c>
    </row>
    <row r="10" spans="1:12" ht="15.75" customHeight="1" x14ac:dyDescent="0.35">
      <c r="A10" s="12" t="s">
        <v>14</v>
      </c>
      <c r="B10" s="25">
        <v>1800</v>
      </c>
      <c r="C10" s="25">
        <v>1928</v>
      </c>
      <c r="D10" s="26">
        <f t="shared" si="0"/>
        <v>128</v>
      </c>
      <c r="E10" s="27">
        <f t="shared" si="1"/>
        <v>7.1111111111111111E-2</v>
      </c>
      <c r="F10" s="28">
        <v>1129.82</v>
      </c>
      <c r="G10" s="28">
        <v>1326.1</v>
      </c>
      <c r="H10" s="29">
        <f t="shared" si="2"/>
        <v>196.27999999999997</v>
      </c>
      <c r="I10" s="27">
        <f t="shared" si="3"/>
        <v>0.17372678833796532</v>
      </c>
      <c r="J10" s="30">
        <f t="shared" si="4"/>
        <v>24404112</v>
      </c>
      <c r="K10" s="30">
        <f t="shared" si="5"/>
        <v>30680649.599999998</v>
      </c>
      <c r="L10" s="31">
        <f t="shared" si="6"/>
        <v>6276537.5999999978</v>
      </c>
    </row>
    <row r="11" spans="1:12" ht="15.75" customHeight="1" x14ac:dyDescent="0.35">
      <c r="A11" s="12" t="s">
        <v>15</v>
      </c>
      <c r="B11" s="25">
        <v>58480</v>
      </c>
      <c r="C11" s="25">
        <v>55192</v>
      </c>
      <c r="D11" s="26">
        <f t="shared" si="0"/>
        <v>-3288</v>
      </c>
      <c r="E11" s="27">
        <f t="shared" si="1"/>
        <v>-5.6224350205198358E-2</v>
      </c>
      <c r="F11" s="28">
        <v>285.39</v>
      </c>
      <c r="G11" s="28">
        <v>329.2</v>
      </c>
      <c r="H11" s="29">
        <f t="shared" si="2"/>
        <v>43.81</v>
      </c>
      <c r="I11" s="27">
        <f t="shared" si="3"/>
        <v>0.15350923297943167</v>
      </c>
      <c r="J11" s="30">
        <f t="shared" si="4"/>
        <v>200275286.39999998</v>
      </c>
      <c r="K11" s="30">
        <f t="shared" si="5"/>
        <v>218030476.79999998</v>
      </c>
      <c r="L11" s="31">
        <f t="shared" si="6"/>
        <v>17755190.400000006</v>
      </c>
    </row>
    <row r="12" spans="1:12" ht="15.75" customHeight="1" x14ac:dyDescent="0.35">
      <c r="A12" s="33" t="s">
        <v>16</v>
      </c>
      <c r="B12" s="34">
        <v>4411</v>
      </c>
      <c r="C12" s="34">
        <v>5279</v>
      </c>
      <c r="D12" s="35">
        <f t="shared" si="0"/>
        <v>868</v>
      </c>
      <c r="E12" s="36">
        <f t="shared" si="1"/>
        <v>0.19678077533439128</v>
      </c>
      <c r="F12" s="37">
        <v>184.55</v>
      </c>
      <c r="G12" s="37">
        <v>227.18</v>
      </c>
      <c r="H12" s="38">
        <f t="shared" si="2"/>
        <v>42.629999999999995</v>
      </c>
      <c r="I12" s="36">
        <f t="shared" si="3"/>
        <v>0.23099431048496338</v>
      </c>
      <c r="J12" s="39">
        <f t="shared" si="4"/>
        <v>9768600.6000000015</v>
      </c>
      <c r="K12" s="39">
        <f t="shared" si="5"/>
        <v>14391398.640000001</v>
      </c>
      <c r="L12" s="40">
        <f t="shared" si="6"/>
        <v>4622798.0399999991</v>
      </c>
    </row>
    <row r="13" spans="1:12" ht="15.75" customHeight="1" x14ac:dyDescent="0.35">
      <c r="A13" s="32" t="s">
        <v>17</v>
      </c>
      <c r="B13" s="25">
        <v>252</v>
      </c>
      <c r="C13" s="25">
        <v>415</v>
      </c>
      <c r="D13" s="26">
        <f t="shared" si="0"/>
        <v>163</v>
      </c>
      <c r="E13" s="27">
        <f t="shared" si="1"/>
        <v>0.64682539682539686</v>
      </c>
      <c r="F13" s="28">
        <v>400</v>
      </c>
      <c r="G13" s="28">
        <v>463.83</v>
      </c>
      <c r="H13" s="29">
        <f t="shared" si="2"/>
        <v>63.829999999999984</v>
      </c>
      <c r="I13" s="27">
        <f t="shared" si="3"/>
        <v>0.15957499999999997</v>
      </c>
      <c r="J13" s="30">
        <f t="shared" si="4"/>
        <v>1209600</v>
      </c>
      <c r="K13" s="30">
        <f t="shared" si="5"/>
        <v>2309873.4</v>
      </c>
      <c r="L13" s="31">
        <f t="shared" si="6"/>
        <v>1100273.3999999999</v>
      </c>
    </row>
    <row r="14" spans="1:12" ht="15.75" customHeight="1" x14ac:dyDescent="0.35">
      <c r="A14" s="33" t="s">
        <v>18</v>
      </c>
      <c r="B14" s="34">
        <v>9763</v>
      </c>
      <c r="C14" s="34">
        <v>9207</v>
      </c>
      <c r="D14" s="35">
        <f t="shared" si="0"/>
        <v>-556</v>
      </c>
      <c r="E14" s="36">
        <f t="shared" si="1"/>
        <v>-5.6949708081532317E-2</v>
      </c>
      <c r="F14" s="37">
        <v>66.849999999999994</v>
      </c>
      <c r="G14" s="37">
        <v>158.76</v>
      </c>
      <c r="H14" s="38">
        <f t="shared" si="2"/>
        <v>91.91</v>
      </c>
      <c r="I14" s="36">
        <f t="shared" si="3"/>
        <v>1.374869109947644</v>
      </c>
      <c r="J14" s="39">
        <f t="shared" si="4"/>
        <v>7831878.5999999996</v>
      </c>
      <c r="K14" s="39">
        <f t="shared" si="5"/>
        <v>17540439.839999996</v>
      </c>
      <c r="L14" s="40">
        <f t="shared" si="6"/>
        <v>9708561.2399999965</v>
      </c>
    </row>
    <row r="15" spans="1:12" ht="15.75" customHeight="1" x14ac:dyDescent="0.35">
      <c r="A15" s="12" t="s">
        <v>19</v>
      </c>
      <c r="B15" s="25">
        <v>14165</v>
      </c>
      <c r="C15" s="25">
        <v>12999</v>
      </c>
      <c r="D15" s="26">
        <f t="shared" si="0"/>
        <v>-1166</v>
      </c>
      <c r="E15" s="27">
        <f t="shared" si="1"/>
        <v>-8.2315566537239676E-2</v>
      </c>
      <c r="F15" s="28">
        <v>31.85</v>
      </c>
      <c r="G15" s="28">
        <v>34.61</v>
      </c>
      <c r="H15" s="29">
        <f t="shared" si="2"/>
        <v>2.759999999999998</v>
      </c>
      <c r="I15" s="27">
        <f t="shared" si="3"/>
        <v>8.665620094191516E-2</v>
      </c>
      <c r="J15" s="30">
        <f t="shared" si="4"/>
        <v>5413863</v>
      </c>
      <c r="K15" s="30">
        <f t="shared" si="5"/>
        <v>5398744.6799999997</v>
      </c>
      <c r="L15" s="31">
        <f t="shared" si="6"/>
        <v>-15118.320000000298</v>
      </c>
    </row>
    <row r="16" spans="1:12" ht="15.75" customHeight="1" thickBot="1" x14ac:dyDescent="0.4">
      <c r="A16" s="114" t="s">
        <v>20</v>
      </c>
      <c r="B16" s="115">
        <v>4995</v>
      </c>
      <c r="C16" s="115">
        <v>2175</v>
      </c>
      <c r="D16" s="116">
        <f t="shared" si="0"/>
        <v>-2820</v>
      </c>
      <c r="E16" s="117">
        <f t="shared" si="1"/>
        <v>-0.56456456456456461</v>
      </c>
      <c r="F16" s="118">
        <v>30.98</v>
      </c>
      <c r="G16" s="118">
        <v>30.57</v>
      </c>
      <c r="H16" s="119">
        <f t="shared" si="2"/>
        <v>-0.41000000000000014</v>
      </c>
      <c r="I16" s="117">
        <f t="shared" si="3"/>
        <v>-1.3234344738540998E-2</v>
      </c>
      <c r="J16" s="120">
        <f t="shared" si="4"/>
        <v>1856941.2000000002</v>
      </c>
      <c r="K16" s="120">
        <f t="shared" si="5"/>
        <v>797877</v>
      </c>
      <c r="L16" s="121">
        <f t="shared" si="6"/>
        <v>-1059064.2000000002</v>
      </c>
    </row>
    <row r="17" spans="1:20" ht="15.75" customHeight="1" thickBot="1" x14ac:dyDescent="0.4">
      <c r="A17" s="135" t="s">
        <v>39</v>
      </c>
      <c r="B17" s="136">
        <f>SUM(B5:B16)</f>
        <v>199751</v>
      </c>
      <c r="C17" s="136">
        <f>SUM(C5:C16)</f>
        <v>185704</v>
      </c>
      <c r="D17" s="137">
        <f>SUM(D5:D16)</f>
        <v>-14047</v>
      </c>
      <c r="E17" s="138" t="s">
        <v>22</v>
      </c>
      <c r="F17" s="139" t="s">
        <v>22</v>
      </c>
      <c r="G17" s="139" t="s">
        <v>22</v>
      </c>
      <c r="H17" s="140" t="s">
        <v>22</v>
      </c>
      <c r="I17" s="138" t="s">
        <v>22</v>
      </c>
      <c r="J17" s="141">
        <f>SUM(J5:J16)</f>
        <v>851071676.4000001</v>
      </c>
      <c r="K17" s="141">
        <f>SUM(K5:K16)</f>
        <v>976264250.51999998</v>
      </c>
      <c r="L17" s="142">
        <f>SUM(L5:L16)</f>
        <v>125192574.11999996</v>
      </c>
    </row>
    <row r="18" spans="1:20" ht="18" customHeight="1" x14ac:dyDescent="0.35">
      <c r="A18" s="108"/>
      <c r="B18" s="109"/>
      <c r="C18" s="109"/>
      <c r="D18" s="110"/>
      <c r="E18" s="111"/>
      <c r="F18" s="111"/>
      <c r="G18" s="111"/>
      <c r="H18" s="111"/>
      <c r="I18" s="111"/>
      <c r="J18" s="112"/>
      <c r="K18" s="112"/>
      <c r="L18" s="113"/>
      <c r="Q18" s="103"/>
      <c r="R18" s="103"/>
      <c r="S18" s="103"/>
      <c r="T18" s="103"/>
    </row>
    <row r="19" spans="1:20" ht="14.25" customHeight="1" x14ac:dyDescent="0.35">
      <c r="A19" s="24"/>
      <c r="Q19" s="103"/>
      <c r="R19" s="103"/>
      <c r="S19" s="103"/>
      <c r="T19" s="103"/>
    </row>
  </sheetData>
  <mergeCells count="3">
    <mergeCell ref="A1:L1"/>
    <mergeCell ref="A2:L2"/>
    <mergeCell ref="A3:L3"/>
  </mergeCells>
  <conditionalFormatting sqref="L5:L17">
    <cfRule type="cellIs" dxfId="1" priority="2" operator="lessThan">
      <formula>0</formula>
    </cfRule>
    <cfRule type="cellIs" dxfId="0" priority="3" operator="greaterThan">
      <formula>0</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3"/>
  <sheetViews>
    <sheetView showGridLines="0" topLeftCell="A6" zoomScale="85" zoomScaleNormal="85" workbookViewId="0">
      <selection activeCell="E26" sqref="E26"/>
    </sheetView>
  </sheetViews>
  <sheetFormatPr defaultColWidth="8.6328125" defaultRowHeight="14.5" x14ac:dyDescent="0.35"/>
  <cols>
    <col min="1" max="1" width="28" customWidth="1"/>
    <col min="2" max="2" width="18" customWidth="1"/>
    <col min="3" max="5" width="16" customWidth="1"/>
    <col min="6" max="6" width="12" customWidth="1"/>
    <col min="7" max="7" width="66.36328125" style="41" customWidth="1"/>
    <col min="8" max="8" width="86.90625" style="41" customWidth="1"/>
  </cols>
  <sheetData>
    <row r="1" spans="1:8" ht="27.75" customHeight="1" x14ac:dyDescent="0.35">
      <c r="A1" s="10" t="s">
        <v>40</v>
      </c>
      <c r="B1" s="10"/>
      <c r="C1" s="10"/>
      <c r="D1" s="10"/>
      <c r="E1" s="10"/>
      <c r="F1" s="10"/>
      <c r="G1" s="10"/>
      <c r="H1" s="10"/>
    </row>
    <row r="2" spans="1:8" ht="15.75" customHeight="1" x14ac:dyDescent="0.35">
      <c r="A2" s="9" t="s">
        <v>41</v>
      </c>
      <c r="B2" s="9"/>
      <c r="C2" s="9"/>
      <c r="D2" s="9"/>
      <c r="E2" s="9"/>
      <c r="F2" s="9"/>
      <c r="G2" s="9"/>
      <c r="H2" s="9"/>
    </row>
    <row r="3" spans="1:8" ht="54.5" customHeight="1" x14ac:dyDescent="0.35">
      <c r="A3" s="8" t="s">
        <v>42</v>
      </c>
      <c r="B3" s="8"/>
      <c r="C3" s="8"/>
      <c r="D3" s="8"/>
      <c r="E3" s="8"/>
      <c r="F3" s="8"/>
      <c r="G3" s="8"/>
      <c r="H3" s="8"/>
    </row>
    <row r="4" spans="1:8" ht="19.5" customHeight="1" x14ac:dyDescent="0.35">
      <c r="A4" s="42" t="s">
        <v>27</v>
      </c>
      <c r="B4" s="43" t="s">
        <v>43</v>
      </c>
      <c r="C4" s="44" t="s">
        <v>44</v>
      </c>
      <c r="D4" s="44" t="s">
        <v>45</v>
      </c>
      <c r="E4" s="44" t="s">
        <v>46</v>
      </c>
      <c r="F4" s="43" t="s">
        <v>47</v>
      </c>
      <c r="G4" s="45" t="s">
        <v>48</v>
      </c>
      <c r="H4" s="45" t="s">
        <v>49</v>
      </c>
    </row>
    <row r="5" spans="1:8" ht="66" customHeight="1" x14ac:dyDescent="0.35">
      <c r="A5" s="46" t="s">
        <v>9</v>
      </c>
      <c r="B5" s="47" t="s">
        <v>50</v>
      </c>
      <c r="C5" s="47">
        <v>8005</v>
      </c>
      <c r="D5" s="47">
        <v>7402</v>
      </c>
      <c r="E5" s="47" t="s">
        <v>51</v>
      </c>
      <c r="F5" s="47" t="s">
        <v>52</v>
      </c>
      <c r="G5" s="48" t="s">
        <v>53</v>
      </c>
      <c r="H5" s="49" t="s">
        <v>54</v>
      </c>
    </row>
    <row r="6" spans="1:8" ht="223" customHeight="1" x14ac:dyDescent="0.35">
      <c r="A6" s="50" t="s">
        <v>9</v>
      </c>
      <c r="B6" s="51" t="s">
        <v>55</v>
      </c>
      <c r="C6" s="51" t="s">
        <v>56</v>
      </c>
      <c r="D6" s="51" t="s">
        <v>57</v>
      </c>
      <c r="E6" s="52" t="s">
        <v>58</v>
      </c>
      <c r="F6" s="51" t="s">
        <v>59</v>
      </c>
      <c r="G6" s="53" t="s">
        <v>60</v>
      </c>
      <c r="H6" s="54" t="s">
        <v>61</v>
      </c>
    </row>
    <row r="7" spans="1:8" ht="60" customHeight="1" x14ac:dyDescent="0.35">
      <c r="A7" s="55" t="s">
        <v>11</v>
      </c>
      <c r="B7" s="56" t="s">
        <v>50</v>
      </c>
      <c r="C7" s="56">
        <v>15000</v>
      </c>
      <c r="D7" s="56">
        <v>12351</v>
      </c>
      <c r="E7" s="57" t="s">
        <v>62</v>
      </c>
      <c r="F7" s="56" t="s">
        <v>63</v>
      </c>
      <c r="G7" s="58" t="s">
        <v>64</v>
      </c>
      <c r="H7" s="59" t="s">
        <v>65</v>
      </c>
    </row>
    <row r="8" spans="1:8" ht="60" customHeight="1" x14ac:dyDescent="0.35">
      <c r="A8" s="60" t="s">
        <v>11</v>
      </c>
      <c r="B8" s="61" t="s">
        <v>55</v>
      </c>
      <c r="C8" s="61" t="s">
        <v>66</v>
      </c>
      <c r="D8" s="61" t="s">
        <v>67</v>
      </c>
      <c r="E8" s="62" t="s">
        <v>68</v>
      </c>
      <c r="F8" s="61" t="s">
        <v>69</v>
      </c>
      <c r="G8" s="63" t="s">
        <v>70</v>
      </c>
      <c r="H8" s="64" t="s">
        <v>61</v>
      </c>
    </row>
    <row r="9" spans="1:8" ht="69" customHeight="1" x14ac:dyDescent="0.35">
      <c r="A9" s="46" t="s">
        <v>12</v>
      </c>
      <c r="B9" s="47" t="s">
        <v>50</v>
      </c>
      <c r="C9" s="47">
        <v>38000</v>
      </c>
      <c r="D9" s="47">
        <v>35417</v>
      </c>
      <c r="E9" s="65" t="s">
        <v>71</v>
      </c>
      <c r="F9" s="47" t="s">
        <v>72</v>
      </c>
      <c r="G9" s="48" t="s">
        <v>73</v>
      </c>
      <c r="H9" s="49" t="s">
        <v>54</v>
      </c>
    </row>
    <row r="10" spans="1:8" ht="60" customHeight="1" x14ac:dyDescent="0.35">
      <c r="A10" s="50" t="s">
        <v>12</v>
      </c>
      <c r="B10" s="51" t="s">
        <v>55</v>
      </c>
      <c r="C10" s="51" t="s">
        <v>74</v>
      </c>
      <c r="D10" s="51" t="s">
        <v>75</v>
      </c>
      <c r="E10" s="51" t="s">
        <v>76</v>
      </c>
      <c r="F10" s="51" t="s">
        <v>77</v>
      </c>
      <c r="G10" s="53" t="s">
        <v>78</v>
      </c>
      <c r="H10" s="54" t="s">
        <v>61</v>
      </c>
    </row>
    <row r="11" spans="1:8" ht="60" customHeight="1" x14ac:dyDescent="0.35">
      <c r="A11" s="60" t="s">
        <v>14</v>
      </c>
      <c r="B11" s="61" t="s">
        <v>50</v>
      </c>
      <c r="C11" s="61">
        <v>1800</v>
      </c>
      <c r="D11" s="61">
        <v>1928</v>
      </c>
      <c r="E11" s="61">
        <v>128</v>
      </c>
      <c r="F11" s="61" t="s">
        <v>79</v>
      </c>
      <c r="G11" s="63" t="s">
        <v>80</v>
      </c>
      <c r="H11" s="64" t="s">
        <v>54</v>
      </c>
    </row>
    <row r="12" spans="1:8" ht="60" customHeight="1" x14ac:dyDescent="0.35">
      <c r="A12" s="66" t="s">
        <v>14</v>
      </c>
      <c r="B12" s="66" t="s">
        <v>55</v>
      </c>
      <c r="C12" s="67" t="s">
        <v>81</v>
      </c>
      <c r="D12" s="67" t="s">
        <v>82</v>
      </c>
      <c r="E12" s="67" t="s">
        <v>83</v>
      </c>
      <c r="F12" s="67" t="s">
        <v>84</v>
      </c>
      <c r="G12" s="68" t="s">
        <v>85</v>
      </c>
      <c r="H12" s="68" t="s">
        <v>61</v>
      </c>
    </row>
    <row r="13" spans="1:8" ht="76.5" customHeight="1" x14ac:dyDescent="0.35">
      <c r="A13" s="69" t="s">
        <v>16</v>
      </c>
      <c r="B13" s="66" t="s">
        <v>50</v>
      </c>
      <c r="C13" s="67">
        <v>4411</v>
      </c>
      <c r="D13" s="67">
        <v>5279</v>
      </c>
      <c r="E13" s="67">
        <v>868</v>
      </c>
      <c r="F13" s="67" t="s">
        <v>86</v>
      </c>
      <c r="G13" s="68" t="s">
        <v>87</v>
      </c>
      <c r="H13" s="68" t="s">
        <v>65</v>
      </c>
    </row>
    <row r="14" spans="1:8" ht="60.5" customHeight="1" x14ac:dyDescent="0.35">
      <c r="A14" s="66" t="s">
        <v>16</v>
      </c>
      <c r="B14" s="66" t="s">
        <v>55</v>
      </c>
      <c r="C14" s="67" t="s">
        <v>88</v>
      </c>
      <c r="D14" s="67" t="s">
        <v>89</v>
      </c>
      <c r="E14" s="67" t="s">
        <v>90</v>
      </c>
      <c r="F14" s="67" t="s">
        <v>91</v>
      </c>
      <c r="G14" s="68" t="s">
        <v>92</v>
      </c>
      <c r="H14" s="68" t="s">
        <v>61</v>
      </c>
    </row>
    <row r="15" spans="1:8" ht="96" customHeight="1" x14ac:dyDescent="0.35">
      <c r="A15" s="66" t="s">
        <v>17</v>
      </c>
      <c r="B15" s="66" t="s">
        <v>50</v>
      </c>
      <c r="C15" s="67">
        <v>252</v>
      </c>
      <c r="D15" s="67">
        <v>415</v>
      </c>
      <c r="E15" s="67">
        <v>163</v>
      </c>
      <c r="F15" s="67" t="s">
        <v>93</v>
      </c>
      <c r="G15" s="68" t="s">
        <v>94</v>
      </c>
      <c r="H15" s="68" t="s">
        <v>65</v>
      </c>
    </row>
    <row r="16" spans="1:8" ht="60.75" customHeight="1" x14ac:dyDescent="0.35">
      <c r="A16" s="66" t="s">
        <v>17</v>
      </c>
      <c r="B16" s="66" t="s">
        <v>55</v>
      </c>
      <c r="C16" s="67" t="s">
        <v>95</v>
      </c>
      <c r="D16" s="67" t="s">
        <v>96</v>
      </c>
      <c r="E16" s="67" t="s">
        <v>97</v>
      </c>
      <c r="F16" s="67" t="s">
        <v>98</v>
      </c>
      <c r="G16" s="68" t="s">
        <v>99</v>
      </c>
      <c r="H16" s="68" t="s">
        <v>61</v>
      </c>
    </row>
    <row r="17" spans="1:8" ht="66" customHeight="1" x14ac:dyDescent="0.35">
      <c r="A17" s="66" t="s">
        <v>10</v>
      </c>
      <c r="B17" s="66" t="s">
        <v>55</v>
      </c>
      <c r="C17" s="67" t="s">
        <v>100</v>
      </c>
      <c r="D17" s="67" t="s">
        <v>101</v>
      </c>
      <c r="E17" s="67" t="s">
        <v>102</v>
      </c>
      <c r="F17" s="67" t="s">
        <v>103</v>
      </c>
      <c r="G17" s="68" t="s">
        <v>104</v>
      </c>
      <c r="H17" s="68" t="s">
        <v>61</v>
      </c>
    </row>
    <row r="18" spans="1:8" ht="66" customHeight="1" x14ac:dyDescent="0.35">
      <c r="A18" s="66" t="s">
        <v>13</v>
      </c>
      <c r="B18" s="66" t="s">
        <v>55</v>
      </c>
      <c r="C18" s="67" t="s">
        <v>105</v>
      </c>
      <c r="D18" s="67" t="s">
        <v>106</v>
      </c>
      <c r="E18" s="67" t="s">
        <v>107</v>
      </c>
      <c r="F18" s="67" t="s">
        <v>108</v>
      </c>
      <c r="G18" s="68" t="s">
        <v>109</v>
      </c>
      <c r="H18" s="68" t="s">
        <v>61</v>
      </c>
    </row>
    <row r="19" spans="1:8" ht="57" customHeight="1" x14ac:dyDescent="0.35">
      <c r="A19" s="70" t="s">
        <v>15</v>
      </c>
      <c r="B19" s="70" t="s">
        <v>55</v>
      </c>
      <c r="C19" s="71" t="s">
        <v>110</v>
      </c>
      <c r="D19" s="71" t="s">
        <v>111</v>
      </c>
      <c r="E19" s="71" t="s">
        <v>112</v>
      </c>
      <c r="F19" s="71" t="s">
        <v>113</v>
      </c>
      <c r="G19" s="72" t="s">
        <v>114</v>
      </c>
      <c r="H19" s="72" t="s">
        <v>61</v>
      </c>
    </row>
    <row r="20" spans="1:8" ht="130" customHeight="1" x14ac:dyDescent="0.35">
      <c r="A20" s="66" t="s">
        <v>18</v>
      </c>
      <c r="B20" s="66" t="s">
        <v>55</v>
      </c>
      <c r="C20" s="67" t="s">
        <v>115</v>
      </c>
      <c r="D20" s="67" t="s">
        <v>116</v>
      </c>
      <c r="E20" s="67" t="s">
        <v>117</v>
      </c>
      <c r="F20" s="67" t="s">
        <v>118</v>
      </c>
      <c r="G20" s="68" t="s">
        <v>119</v>
      </c>
      <c r="H20" s="68" t="s">
        <v>61</v>
      </c>
    </row>
    <row r="21" spans="1:8" ht="72" customHeight="1" x14ac:dyDescent="0.35">
      <c r="A21" s="73" t="s">
        <v>19</v>
      </c>
      <c r="B21" s="73" t="s">
        <v>50</v>
      </c>
      <c r="C21" s="74">
        <v>14165</v>
      </c>
      <c r="D21" s="74">
        <v>12999</v>
      </c>
      <c r="E21" s="74" t="s">
        <v>120</v>
      </c>
      <c r="F21" s="74" t="s">
        <v>121</v>
      </c>
      <c r="G21" s="75" t="s">
        <v>122</v>
      </c>
      <c r="H21" s="75" t="s">
        <v>54</v>
      </c>
    </row>
    <row r="22" spans="1:8" ht="99.5" customHeight="1" x14ac:dyDescent="0.35">
      <c r="A22" s="93" t="s">
        <v>20</v>
      </c>
      <c r="B22" s="93" t="s">
        <v>50</v>
      </c>
      <c r="C22" s="94">
        <v>4995</v>
      </c>
      <c r="D22" s="94">
        <v>2175</v>
      </c>
      <c r="E22" s="94" t="s">
        <v>123</v>
      </c>
      <c r="F22" s="94" t="s">
        <v>124</v>
      </c>
      <c r="G22" s="95" t="s">
        <v>125</v>
      </c>
      <c r="H22" s="95" t="s">
        <v>65</v>
      </c>
    </row>
    <row r="23" spans="1:8" ht="31.5" customHeight="1" x14ac:dyDescent="0.35">
      <c r="A23" s="107" t="s">
        <v>126</v>
      </c>
      <c r="B23" s="100"/>
      <c r="C23" s="101"/>
      <c r="D23" s="101"/>
      <c r="E23" s="101"/>
      <c r="F23" s="101"/>
      <c r="G23" s="102"/>
      <c r="H23" s="102"/>
    </row>
    <row r="24" spans="1:8" ht="45" customHeight="1" x14ac:dyDescent="0.35">
      <c r="A24" s="99"/>
      <c r="B24" s="99"/>
      <c r="C24" s="99"/>
      <c r="D24" s="99"/>
      <c r="E24" s="99"/>
      <c r="F24" s="99"/>
      <c r="G24" s="99"/>
      <c r="H24" s="99"/>
    </row>
    <row r="25" spans="1:8" ht="58.5" customHeight="1" x14ac:dyDescent="0.35">
      <c r="A25" s="96"/>
      <c r="B25" s="96"/>
      <c r="C25" s="97"/>
      <c r="D25" s="97"/>
      <c r="E25" s="97"/>
      <c r="F25" s="97"/>
      <c r="G25" s="98"/>
      <c r="H25" s="98"/>
    </row>
    <row r="26" spans="1:8" ht="95.25" customHeight="1" x14ac:dyDescent="0.35">
      <c r="A26" s="96"/>
      <c r="B26" s="96"/>
      <c r="C26" s="97"/>
      <c r="D26" s="97"/>
      <c r="E26" s="97"/>
      <c r="F26" s="97"/>
      <c r="G26" s="98"/>
      <c r="H26" s="98"/>
    </row>
    <row r="27" spans="1:8" ht="94.5" customHeight="1" x14ac:dyDescent="0.35">
      <c r="A27" s="96"/>
      <c r="B27" s="96"/>
      <c r="C27" s="97"/>
      <c r="D27" s="97"/>
      <c r="E27" s="97"/>
      <c r="F27" s="97"/>
      <c r="G27" s="98"/>
      <c r="H27" s="98"/>
    </row>
    <row r="28" spans="1:8" ht="42" customHeight="1" x14ac:dyDescent="0.35">
      <c r="A28" s="96"/>
      <c r="B28" s="96"/>
      <c r="C28" s="97"/>
      <c r="D28" s="97"/>
      <c r="E28" s="97"/>
      <c r="F28" s="97"/>
      <c r="G28" s="98"/>
      <c r="H28" s="98"/>
    </row>
    <row r="29" spans="1:8" ht="30" customHeight="1" x14ac:dyDescent="0.35">
      <c r="A29" s="96"/>
      <c r="B29" s="103"/>
    </row>
    <row r="30" spans="1:8" ht="13.5" customHeight="1" x14ac:dyDescent="0.35">
      <c r="A30" s="104"/>
      <c r="B30" s="103"/>
    </row>
    <row r="31" spans="1:8" ht="14.25" customHeight="1" x14ac:dyDescent="0.35">
      <c r="A31" s="96"/>
      <c r="B31" s="96"/>
      <c r="C31" s="76"/>
      <c r="D31" s="76"/>
      <c r="E31" s="76"/>
      <c r="F31" s="76"/>
      <c r="G31" s="77"/>
      <c r="H31" s="77"/>
    </row>
    <row r="32" spans="1:8" ht="14.25" customHeight="1" x14ac:dyDescent="0.35">
      <c r="A32" s="105"/>
      <c r="B32" s="106"/>
      <c r="C32" s="78"/>
      <c r="D32" s="78"/>
      <c r="E32" s="78"/>
      <c r="F32" s="78"/>
      <c r="G32" s="79"/>
      <c r="H32" s="79"/>
    </row>
    <row r="33" spans="1:8" ht="14.25" customHeight="1" x14ac:dyDescent="0.35">
      <c r="A33" s="106"/>
      <c r="B33" s="106"/>
      <c r="C33" s="78"/>
      <c r="D33" s="78"/>
      <c r="E33" s="78"/>
      <c r="F33" s="78"/>
      <c r="G33" s="79"/>
      <c r="H33" s="79"/>
    </row>
  </sheetData>
  <mergeCells count="4">
    <mergeCell ref="A1:H1"/>
    <mergeCell ref="A2:H2"/>
    <mergeCell ref="A3:H3"/>
    <mergeCell ref="A24:H2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
  <sheetViews>
    <sheetView showGridLines="0" tabSelected="1" zoomScaleNormal="100" workbookViewId="0">
      <selection activeCell="D10" sqref="D10:D11"/>
    </sheetView>
  </sheetViews>
  <sheetFormatPr defaultColWidth="8.6328125" defaultRowHeight="14.5" x14ac:dyDescent="0.35"/>
  <cols>
    <col min="1" max="1" width="36" customWidth="1"/>
    <col min="2" max="2" width="56.6328125" customWidth="1"/>
    <col min="3" max="3" width="22" customWidth="1"/>
    <col min="4" max="4" width="45" customWidth="1"/>
  </cols>
  <sheetData>
    <row r="1" spans="1:6" ht="27.75" customHeight="1" x14ac:dyDescent="0.35">
      <c r="A1" s="7" t="s">
        <v>127</v>
      </c>
      <c r="B1" s="7"/>
      <c r="C1" s="7"/>
      <c r="D1" s="7"/>
      <c r="E1" s="7"/>
      <c r="F1" s="7"/>
    </row>
    <row r="2" spans="1:6" ht="15.75" customHeight="1" x14ac:dyDescent="0.35">
      <c r="A2" s="6" t="s">
        <v>128</v>
      </c>
      <c r="B2" s="6"/>
      <c r="C2" s="6"/>
      <c r="D2" s="6"/>
      <c r="E2" s="6"/>
      <c r="F2" s="6"/>
    </row>
    <row r="3" spans="1:6" ht="19.5" customHeight="1" x14ac:dyDescent="0.35">
      <c r="A3" s="4" t="s">
        <v>129</v>
      </c>
      <c r="B3" s="4"/>
      <c r="C3" s="4"/>
      <c r="D3" s="4"/>
    </row>
    <row r="4" spans="1:6" ht="18" customHeight="1" x14ac:dyDescent="0.35">
      <c r="A4" s="80" t="s">
        <v>130</v>
      </c>
      <c r="B4" s="80" t="s">
        <v>131</v>
      </c>
      <c r="C4" s="80" t="s">
        <v>132</v>
      </c>
      <c r="D4" s="80" t="s">
        <v>46</v>
      </c>
    </row>
    <row r="5" spans="1:6" ht="18" customHeight="1" x14ac:dyDescent="0.35">
      <c r="A5" s="81" t="s">
        <v>133</v>
      </c>
      <c r="B5" s="82">
        <f>COUNTA('Reconciliation Report'!A5:A16)</f>
        <v>12</v>
      </c>
      <c r="C5" s="82">
        <f>COUNTA('Reconciliation Report'!A5:A16)</f>
        <v>12</v>
      </c>
      <c r="D5" s="83" t="s">
        <v>22</v>
      </c>
    </row>
    <row r="6" spans="1:6" ht="18" customHeight="1" x14ac:dyDescent="0.35">
      <c r="A6" s="81" t="s">
        <v>134</v>
      </c>
      <c r="B6" s="13">
        <f>'Reconciliation Report'!B17</f>
        <v>199751</v>
      </c>
      <c r="C6" s="13">
        <f>'Reconciliation Report'!C17</f>
        <v>185704</v>
      </c>
      <c r="D6" s="84">
        <f t="shared" ref="D6:D11" si="0">C6-B6</f>
        <v>-14047</v>
      </c>
    </row>
    <row r="7" spans="1:6" ht="18" customHeight="1" x14ac:dyDescent="0.35">
      <c r="A7" s="81" t="s">
        <v>135</v>
      </c>
      <c r="B7" s="85">
        <f>'Reconciliation Report'!J17</f>
        <v>851071676.4000001</v>
      </c>
      <c r="C7" s="85">
        <f>'Reconciliation Report'!K17</f>
        <v>976264250.51999998</v>
      </c>
      <c r="D7" s="83">
        <f t="shared" si="0"/>
        <v>125192574.11999989</v>
      </c>
    </row>
    <row r="8" spans="1:6" ht="18" customHeight="1" x14ac:dyDescent="0.35">
      <c r="A8" s="81" t="s">
        <v>136</v>
      </c>
      <c r="B8" s="82">
        <f>B5</f>
        <v>12</v>
      </c>
      <c r="C8" s="82">
        <f>COUNTIFS('Reconciliation Report'!E5:E16,"&lt;=0.063",'Reconciliation Report'!E5:E16,"&gt;=-0.063",'Reconciliation Report'!I5:I16,"&lt;=0.089",'Reconciliation Report'!I5:I16,"&gt;=-0.089")</f>
        <v>0</v>
      </c>
      <c r="D8" s="83">
        <f t="shared" si="0"/>
        <v>-12</v>
      </c>
    </row>
    <row r="9" spans="1:6" ht="18" customHeight="1" x14ac:dyDescent="0.35">
      <c r="A9" s="81" t="s">
        <v>137</v>
      </c>
      <c r="B9" s="82">
        <v>0</v>
      </c>
      <c r="C9" s="82">
        <f>C5-C8</f>
        <v>12</v>
      </c>
      <c r="D9" s="83">
        <f t="shared" si="0"/>
        <v>12</v>
      </c>
    </row>
    <row r="10" spans="1:6" ht="18" customHeight="1" x14ac:dyDescent="0.35">
      <c r="A10" s="81" t="s">
        <v>138</v>
      </c>
      <c r="B10" s="82">
        <v>0</v>
      </c>
      <c r="C10" s="82">
        <f>SUMPRODUCT((ABS('Reconciliation Report'!E5:E16)&gt;0.095)+(ABS('Reconciliation Report'!I5:I16)&gt;0.134)&gt;0)</f>
        <v>0</v>
      </c>
      <c r="D10" s="122">
        <f t="shared" si="0"/>
        <v>0</v>
      </c>
    </row>
    <row r="11" spans="1:6" ht="18" customHeight="1" x14ac:dyDescent="0.35">
      <c r="A11" s="81" t="s">
        <v>139</v>
      </c>
      <c r="B11" s="82">
        <v>0</v>
      </c>
      <c r="C11" s="82">
        <f>COUNTIF('Findings &amp; Resolution Log'!H5:H22,"RESOLVED*")</f>
        <v>0</v>
      </c>
      <c r="D11" s="122">
        <f t="shared" si="0"/>
        <v>0</v>
      </c>
    </row>
    <row r="13" spans="1:6" ht="19.5" customHeight="1" x14ac:dyDescent="0.35">
      <c r="A13" s="3" t="s">
        <v>140</v>
      </c>
      <c r="B13" s="3"/>
      <c r="C13" s="3"/>
      <c r="D13" s="3"/>
    </row>
    <row r="14" spans="1:6" ht="30" customHeight="1" x14ac:dyDescent="0.35">
      <c r="A14" s="86" t="s">
        <v>12</v>
      </c>
      <c r="B14" s="87" t="s">
        <v>141</v>
      </c>
      <c r="C14" s="2" t="s">
        <v>142</v>
      </c>
      <c r="D14" s="2"/>
    </row>
    <row r="15" spans="1:6" ht="30" customHeight="1" x14ac:dyDescent="0.35">
      <c r="A15" s="86" t="s">
        <v>9</v>
      </c>
      <c r="B15" s="87" t="s">
        <v>143</v>
      </c>
      <c r="C15" s="2" t="s">
        <v>142</v>
      </c>
      <c r="D15" s="2"/>
    </row>
    <row r="16" spans="1:6" ht="14.25" customHeight="1" x14ac:dyDescent="0.35">
      <c r="A16" s="88" t="s">
        <v>15</v>
      </c>
      <c r="B16" s="89" t="s">
        <v>144</v>
      </c>
      <c r="C16" s="90" t="s">
        <v>142</v>
      </c>
      <c r="D16" s="91"/>
    </row>
    <row r="17" spans="1:4" ht="49.5" customHeight="1" x14ac:dyDescent="0.35">
      <c r="A17" s="1" t="s">
        <v>145</v>
      </c>
      <c r="B17" s="1"/>
      <c r="C17" s="1"/>
      <c r="D17" s="1"/>
    </row>
    <row r="18" spans="1:4" ht="14.25" customHeight="1" x14ac:dyDescent="0.35">
      <c r="A18" s="92" t="s">
        <v>146</v>
      </c>
      <c r="B18" s="92"/>
      <c r="C18" s="92"/>
      <c r="D18" s="92"/>
    </row>
    <row r="19" spans="1:4" x14ac:dyDescent="0.35">
      <c r="A19" s="92"/>
      <c r="B19" s="92"/>
      <c r="C19" s="92"/>
      <c r="D19" s="92"/>
    </row>
    <row r="20" spans="1:4" ht="62.5" customHeight="1" x14ac:dyDescent="0.35">
      <c r="A20" s="92"/>
      <c r="B20" s="92"/>
      <c r="C20" s="92"/>
      <c r="D20" s="92"/>
    </row>
  </sheetData>
  <mergeCells count="8">
    <mergeCell ref="C15:D15"/>
    <mergeCell ref="A17:D17"/>
    <mergeCell ref="A18:D20"/>
    <mergeCell ref="A1:F1"/>
    <mergeCell ref="A2:F2"/>
    <mergeCell ref="A3:D3"/>
    <mergeCell ref="A13:D13"/>
    <mergeCell ref="C14:D1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SFY2025 Budget Reference</vt:lpstr>
      <vt:lpstr>Reconciliation Report</vt:lpstr>
      <vt:lpstr>Findings &amp; Resolution Log</vt:lpstr>
      <vt:lpstr>Summary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graham pinti</cp:lastModifiedBy>
  <cp:revision>0</cp:revision>
  <dcterms:created xsi:type="dcterms:W3CDTF">2026-04-03T04:01:33Z</dcterms:created>
  <dcterms:modified xsi:type="dcterms:W3CDTF">2026-06-29T16:18:26Z</dcterms:modified>
  <dc:language>en-US</dc:language>
</cp:coreProperties>
</file>